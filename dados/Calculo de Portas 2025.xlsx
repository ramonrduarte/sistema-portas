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bookViews>
    <workbookView xWindow="0" yWindow="0" windowWidth="20490" windowHeight="7155" firstSheet="7" activeTab="7"/>
  </bookViews>
  <sheets>
    <sheet name="PERFIl" sheetId="27" state="hidden" r:id="rId1"/>
    <sheet name="PERFIL_PUXADOR" sheetId="28" state="hidden" r:id="rId2"/>
    <sheet name="PUXADOR" sheetId="29" state="hidden" r:id="rId3"/>
    <sheet name="DIVISORES" sheetId="30" state="hidden" r:id="rId4"/>
    <sheet name="DIVISORIA_DE_AMBIENTE" sheetId="31" state="hidden" r:id="rId5"/>
    <sheet name="BASE_VIDROS" sheetId="32" state="hidden" r:id="rId6"/>
    <sheet name="EXTRAS" sheetId="33" state="hidden" r:id="rId7"/>
    <sheet name="Avulso" sheetId="18" r:id="rId8"/>
    <sheet name="1x Perfil Puxador" sheetId="25" r:id="rId9"/>
    <sheet name="2x Perfil Puxador" sheetId="26" r:id="rId10"/>
    <sheet name="Linha 1000" sheetId="24" r:id="rId11"/>
    <sheet name="Vidros" sheetId="23" r:id="rId12"/>
  </sheets>
  <definedNames>
    <definedName name="Divisor">BaseDivisores[Descrição]</definedName>
    <definedName name="Divisoria_Ambiente">BaseAmbientes[Descrição]</definedName>
    <definedName name="Extra">BaseExtra[Item]</definedName>
    <definedName name="Furos">BaseOutros[Item]</definedName>
    <definedName name="Perfil">BasePerfis[Descrição]</definedName>
    <definedName name="Perfil_Puxador">BasePerfilPuxadores[Descrição]</definedName>
    <definedName name="Puxador">BasePuxadores[Descrição]</definedName>
    <definedName name="Vidros">BaseVidros[Descrição]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1" i="23" l="1"/>
  <c r="N6" i="18" l="1"/>
  <c r="N7" i="18"/>
  <c r="H17" i="18"/>
  <c r="B23" i="24" l="1"/>
  <c r="D23" i="24" s="1"/>
  <c r="F23" i="24" s="1"/>
  <c r="B22" i="24"/>
  <c r="D22" i="24" s="1"/>
  <c r="F22" i="24" s="1"/>
  <c r="B21" i="24"/>
  <c r="B20" i="24"/>
  <c r="B19" i="24"/>
  <c r="D19" i="24" s="1"/>
  <c r="F19" i="24" s="1"/>
  <c r="B18" i="24"/>
  <c r="B17" i="24"/>
  <c r="B16" i="24"/>
  <c r="D20" i="24" l="1"/>
  <c r="F20" i="24" s="1"/>
  <c r="D17" i="24"/>
  <c r="F17" i="24" s="1"/>
  <c r="D21" i="24"/>
  <c r="F21" i="24" s="1"/>
  <c r="D18" i="24"/>
  <c r="F18" i="24" s="1"/>
  <c r="D16" i="24"/>
  <c r="F16" i="24" s="1"/>
  <c r="S6" i="24"/>
  <c r="S7" i="24"/>
  <c r="S8" i="24"/>
  <c r="S9" i="24"/>
  <c r="S10" i="24"/>
  <c r="S11" i="24"/>
  <c r="S12" i="24"/>
  <c r="S5" i="24"/>
  <c r="M6" i="24"/>
  <c r="M7" i="24"/>
  <c r="M8" i="24"/>
  <c r="M9" i="24"/>
  <c r="M10" i="24"/>
  <c r="M11" i="24"/>
  <c r="M12" i="24"/>
  <c r="M5" i="24"/>
  <c r="C24" i="26"/>
  <c r="G24" i="26" s="1"/>
  <c r="C18" i="26"/>
  <c r="C19" i="26"/>
  <c r="G19" i="26" s="1"/>
  <c r="C20" i="26"/>
  <c r="G20" i="26" s="1"/>
  <c r="C21" i="26"/>
  <c r="G21" i="26" s="1"/>
  <c r="C22" i="26"/>
  <c r="C23" i="26"/>
  <c r="G23" i="26" s="1"/>
  <c r="G18" i="26"/>
  <c r="G22" i="26"/>
  <c r="G6" i="26"/>
  <c r="G7" i="26"/>
  <c r="G8" i="26"/>
  <c r="G9" i="26"/>
  <c r="G10" i="26"/>
  <c r="G11" i="26"/>
  <c r="G12" i="26"/>
  <c r="G13" i="26"/>
  <c r="C18" i="25" l="1"/>
  <c r="C19" i="25"/>
  <c r="C20" i="25"/>
  <c r="C21" i="25"/>
  <c r="C22" i="25"/>
  <c r="C23" i="25"/>
  <c r="C24" i="25"/>
  <c r="C17" i="25"/>
  <c r="H18" i="26" l="1"/>
  <c r="J18" i="26" s="1"/>
  <c r="H19" i="26"/>
  <c r="J19" i="26" s="1"/>
  <c r="H20" i="26"/>
  <c r="J20" i="26" s="1"/>
  <c r="H21" i="26"/>
  <c r="J21" i="26" s="1"/>
  <c r="H22" i="26"/>
  <c r="J22" i="26" s="1"/>
  <c r="H23" i="26"/>
  <c r="J23" i="26" s="1"/>
  <c r="H24" i="26"/>
  <c r="J24" i="26" s="1"/>
  <c r="B18" i="26"/>
  <c r="E18" i="26" s="1"/>
  <c r="F18" i="26" s="1"/>
  <c r="B19" i="26"/>
  <c r="E19" i="26" s="1"/>
  <c r="B20" i="26"/>
  <c r="E20" i="26" s="1"/>
  <c r="B21" i="26"/>
  <c r="E21" i="26" s="1"/>
  <c r="B22" i="26"/>
  <c r="E22" i="26" s="1"/>
  <c r="B23" i="26"/>
  <c r="E23" i="26" s="1"/>
  <c r="B24" i="26"/>
  <c r="E24" i="26" s="1"/>
  <c r="B17" i="26"/>
  <c r="E17" i="26" s="1"/>
  <c r="C17" i="26"/>
  <c r="G17" i="26" s="1"/>
  <c r="B18" i="25"/>
  <c r="E18" i="25" s="1"/>
  <c r="B19" i="25"/>
  <c r="E19" i="25" s="1"/>
  <c r="B20" i="25"/>
  <c r="E20" i="25" s="1"/>
  <c r="B21" i="25"/>
  <c r="E21" i="25" s="1"/>
  <c r="B22" i="25"/>
  <c r="E22" i="25" s="1"/>
  <c r="B23" i="25"/>
  <c r="E23" i="25" s="1"/>
  <c r="B24" i="25"/>
  <c r="E24" i="25" s="1"/>
  <c r="B17" i="25"/>
  <c r="E17" i="25" s="1"/>
  <c r="H18" i="25"/>
  <c r="J18" i="25" s="1"/>
  <c r="H19" i="25"/>
  <c r="J19" i="25" s="1"/>
  <c r="H20" i="25"/>
  <c r="J20" i="25" s="1"/>
  <c r="H21" i="25"/>
  <c r="J21" i="25" s="1"/>
  <c r="H22" i="25"/>
  <c r="J22" i="25" s="1"/>
  <c r="H23" i="25"/>
  <c r="J23" i="25" s="1"/>
  <c r="H24" i="25"/>
  <c r="J24" i="25" s="1"/>
  <c r="B6" i="18"/>
  <c r="H18" i="18"/>
  <c r="J18" i="18" s="1"/>
  <c r="H19" i="18"/>
  <c r="J19" i="18" s="1"/>
  <c r="H20" i="18"/>
  <c r="J20" i="18" s="1"/>
  <c r="H21" i="18"/>
  <c r="J21" i="18" s="1"/>
  <c r="H22" i="18"/>
  <c r="J22" i="18" s="1"/>
  <c r="H23" i="18"/>
  <c r="J23" i="18" s="1"/>
  <c r="H24" i="18"/>
  <c r="J24" i="18" s="1"/>
  <c r="J5" i="23" l="1"/>
  <c r="L5" i="23" s="1"/>
  <c r="J6" i="23"/>
  <c r="L6" i="23" s="1"/>
  <c r="J7" i="23"/>
  <c r="L7" i="23" s="1"/>
  <c r="J8" i="23"/>
  <c r="L8" i="23" s="1"/>
  <c r="J9" i="23"/>
  <c r="L9" i="23" s="1"/>
  <c r="J10" i="23"/>
  <c r="L10" i="23" s="1"/>
  <c r="J11" i="23"/>
  <c r="J4" i="23"/>
  <c r="L4" i="23" s="1"/>
  <c r="E5" i="23"/>
  <c r="G5" i="23" s="1"/>
  <c r="E6" i="23"/>
  <c r="G6" i="23" s="1"/>
  <c r="E7" i="23"/>
  <c r="G7" i="23" s="1"/>
  <c r="E8" i="23"/>
  <c r="G8" i="23" s="1"/>
  <c r="E9" i="23"/>
  <c r="G9" i="23" s="1"/>
  <c r="E10" i="23"/>
  <c r="G10" i="23" s="1"/>
  <c r="E11" i="23"/>
  <c r="G11" i="23" s="1"/>
  <c r="E4" i="23"/>
  <c r="G4" i="23" s="1"/>
  <c r="I12" i="24"/>
  <c r="K12" i="24" s="1"/>
  <c r="I11" i="24"/>
  <c r="K11" i="24" s="1"/>
  <c r="I10" i="24"/>
  <c r="K10" i="24" s="1"/>
  <c r="I9" i="24"/>
  <c r="K9" i="24" s="1"/>
  <c r="I8" i="24"/>
  <c r="K8" i="24" s="1"/>
  <c r="I7" i="24"/>
  <c r="K7" i="24" s="1"/>
  <c r="I6" i="24"/>
  <c r="K6" i="24" s="1"/>
  <c r="I5" i="24"/>
  <c r="K5" i="24" s="1"/>
  <c r="B6" i="24"/>
  <c r="D6" i="24" s="1"/>
  <c r="B7" i="24"/>
  <c r="D7" i="24" s="1"/>
  <c r="B8" i="24"/>
  <c r="D8" i="24" s="1"/>
  <c r="B9" i="24"/>
  <c r="D9" i="24" s="1"/>
  <c r="B10" i="24"/>
  <c r="D10" i="24" s="1"/>
  <c r="B11" i="24"/>
  <c r="D11" i="24" s="1"/>
  <c r="B12" i="24"/>
  <c r="D12" i="24" s="1"/>
  <c r="B5" i="24"/>
  <c r="D5" i="24" s="1"/>
  <c r="T12" i="24"/>
  <c r="V12" i="24" s="1"/>
  <c r="W12" i="24" s="1"/>
  <c r="T11" i="24"/>
  <c r="V11" i="24" s="1"/>
  <c r="W11" i="24" s="1"/>
  <c r="T10" i="24"/>
  <c r="V10" i="24" s="1"/>
  <c r="W10" i="24" s="1"/>
  <c r="T9" i="24"/>
  <c r="V9" i="24" s="1"/>
  <c r="W9" i="24" s="1"/>
  <c r="T8" i="24"/>
  <c r="V8" i="24" s="1"/>
  <c r="W8" i="24" s="1"/>
  <c r="T7" i="24"/>
  <c r="V7" i="24" s="1"/>
  <c r="W7" i="24" s="1"/>
  <c r="T6" i="24"/>
  <c r="V6" i="24" s="1"/>
  <c r="W6" i="24" s="1"/>
  <c r="T5" i="24"/>
  <c r="V5" i="24" s="1"/>
  <c r="W5" i="24" s="1"/>
  <c r="N12" i="24"/>
  <c r="P12" i="24" s="1"/>
  <c r="Q12" i="24" s="1"/>
  <c r="N11" i="24"/>
  <c r="P11" i="24" s="1"/>
  <c r="Q11" i="24" s="1"/>
  <c r="N10" i="24"/>
  <c r="P10" i="24" s="1"/>
  <c r="Q10" i="24" s="1"/>
  <c r="N9" i="24"/>
  <c r="P9" i="24" s="1"/>
  <c r="Q9" i="24" s="1"/>
  <c r="N8" i="24"/>
  <c r="P8" i="24" s="1"/>
  <c r="Q8" i="24" s="1"/>
  <c r="N7" i="24"/>
  <c r="P7" i="24" s="1"/>
  <c r="Q7" i="24" s="1"/>
  <c r="N6" i="24"/>
  <c r="P6" i="24" s="1"/>
  <c r="Q6" i="24" s="1"/>
  <c r="N5" i="24"/>
  <c r="P5" i="24" s="1"/>
  <c r="Q5" i="24" s="1"/>
  <c r="H23" i="24" l="1"/>
  <c r="J23" i="24" s="1"/>
  <c r="K23" i="24" s="1"/>
  <c r="H22" i="24"/>
  <c r="J22" i="24" s="1"/>
  <c r="K22" i="24" s="1"/>
  <c r="J21" i="24"/>
  <c r="K21" i="24" s="1"/>
  <c r="H21" i="24"/>
  <c r="H20" i="24"/>
  <c r="J20" i="24" s="1"/>
  <c r="K20" i="24" s="1"/>
  <c r="H19" i="24"/>
  <c r="J19" i="24" s="1"/>
  <c r="K19" i="24" s="1"/>
  <c r="H18" i="24"/>
  <c r="J18" i="24" s="1"/>
  <c r="K18" i="24" s="1"/>
  <c r="H17" i="24"/>
  <c r="J17" i="24" s="1"/>
  <c r="K17" i="24" s="1"/>
  <c r="H16" i="24"/>
  <c r="J16" i="24" s="1"/>
  <c r="K16" i="24" s="1"/>
  <c r="K24" i="26"/>
  <c r="K23" i="26"/>
  <c r="K22" i="26"/>
  <c r="K21" i="26"/>
  <c r="K20" i="26"/>
  <c r="K19" i="26"/>
  <c r="K18" i="26"/>
  <c r="H17" i="26"/>
  <c r="J17" i="26" s="1"/>
  <c r="K17" i="26" s="1"/>
  <c r="B13" i="26"/>
  <c r="D13" i="26" s="1"/>
  <c r="H13" i="26" s="1"/>
  <c r="B12" i="26"/>
  <c r="D12" i="26" s="1"/>
  <c r="H12" i="26" s="1"/>
  <c r="B11" i="26"/>
  <c r="D11" i="26" s="1"/>
  <c r="H11" i="26" s="1"/>
  <c r="B10" i="26"/>
  <c r="D10" i="26" s="1"/>
  <c r="H10" i="26" s="1"/>
  <c r="B9" i="26"/>
  <c r="D9" i="26" s="1"/>
  <c r="H9" i="26" s="1"/>
  <c r="B8" i="26"/>
  <c r="D8" i="26" s="1"/>
  <c r="H8" i="26" s="1"/>
  <c r="B7" i="26"/>
  <c r="D7" i="26" s="1"/>
  <c r="H7" i="26" s="1"/>
  <c r="B6" i="26"/>
  <c r="D6" i="26" s="1"/>
  <c r="H6" i="26" s="1"/>
  <c r="N13" i="26"/>
  <c r="P13" i="26" s="1"/>
  <c r="Q13" i="26" s="1"/>
  <c r="I13" i="26"/>
  <c r="L13" i="26" s="1"/>
  <c r="M13" i="26" s="1"/>
  <c r="N12" i="26"/>
  <c r="P12" i="26" s="1"/>
  <c r="Q12" i="26" s="1"/>
  <c r="I12" i="26"/>
  <c r="L12" i="26" s="1"/>
  <c r="M12" i="26" s="1"/>
  <c r="N11" i="26"/>
  <c r="P11" i="26" s="1"/>
  <c r="Q11" i="26" s="1"/>
  <c r="I11" i="26"/>
  <c r="L11" i="26" s="1"/>
  <c r="M11" i="26" s="1"/>
  <c r="N10" i="26"/>
  <c r="P10" i="26" s="1"/>
  <c r="Q10" i="26" s="1"/>
  <c r="I10" i="26"/>
  <c r="L10" i="26" s="1"/>
  <c r="M10" i="26" s="1"/>
  <c r="N9" i="26"/>
  <c r="P9" i="26" s="1"/>
  <c r="Q9" i="26" s="1"/>
  <c r="I9" i="26"/>
  <c r="L9" i="26" s="1"/>
  <c r="M9" i="26" s="1"/>
  <c r="N8" i="26"/>
  <c r="P8" i="26" s="1"/>
  <c r="Q8" i="26" s="1"/>
  <c r="I8" i="26"/>
  <c r="L8" i="26" s="1"/>
  <c r="M8" i="26" s="1"/>
  <c r="N7" i="26"/>
  <c r="P7" i="26" s="1"/>
  <c r="Q7" i="26" s="1"/>
  <c r="I7" i="26"/>
  <c r="L7" i="26" s="1"/>
  <c r="M7" i="26" s="1"/>
  <c r="N6" i="26"/>
  <c r="P6" i="26" s="1"/>
  <c r="Q6" i="26" s="1"/>
  <c r="I6" i="26"/>
  <c r="L6" i="26" s="1"/>
  <c r="M6" i="26" s="1"/>
  <c r="N13" i="25"/>
  <c r="P13" i="25" s="1"/>
  <c r="Q13" i="25" s="1"/>
  <c r="N12" i="25"/>
  <c r="P12" i="25" s="1"/>
  <c r="Q12" i="25" s="1"/>
  <c r="N11" i="25"/>
  <c r="P11" i="25" s="1"/>
  <c r="Q11" i="25" s="1"/>
  <c r="N10" i="25"/>
  <c r="P10" i="25" s="1"/>
  <c r="Q10" i="25" s="1"/>
  <c r="N9" i="25"/>
  <c r="P9" i="25" s="1"/>
  <c r="Q9" i="25" s="1"/>
  <c r="N8" i="25"/>
  <c r="P8" i="25" s="1"/>
  <c r="Q8" i="25" s="1"/>
  <c r="N7" i="25"/>
  <c r="P7" i="25" s="1"/>
  <c r="Q7" i="25" s="1"/>
  <c r="N6" i="25"/>
  <c r="P6" i="25" s="1"/>
  <c r="Q6" i="25" s="1"/>
  <c r="K24" i="25"/>
  <c r="K23" i="25"/>
  <c r="K22" i="25"/>
  <c r="K21" i="25"/>
  <c r="K20" i="25"/>
  <c r="K19" i="25"/>
  <c r="K18" i="25"/>
  <c r="H17" i="25"/>
  <c r="J17" i="25" s="1"/>
  <c r="K17" i="25" s="1"/>
  <c r="F18" i="25"/>
  <c r="I13" i="25"/>
  <c r="L13" i="25" s="1"/>
  <c r="M13" i="25" s="1"/>
  <c r="I12" i="25"/>
  <c r="L12" i="25" s="1"/>
  <c r="M12" i="25" s="1"/>
  <c r="I11" i="25"/>
  <c r="L11" i="25" s="1"/>
  <c r="M11" i="25" s="1"/>
  <c r="I10" i="25"/>
  <c r="L10" i="25" s="1"/>
  <c r="M10" i="25" s="1"/>
  <c r="I9" i="25"/>
  <c r="L9" i="25" s="1"/>
  <c r="M9" i="25" s="1"/>
  <c r="I8" i="25"/>
  <c r="L8" i="25" s="1"/>
  <c r="M8" i="25" s="1"/>
  <c r="I7" i="25"/>
  <c r="L7" i="25" s="1"/>
  <c r="M7" i="25" s="1"/>
  <c r="I6" i="25"/>
  <c r="L6" i="25" s="1"/>
  <c r="M6" i="25" s="1"/>
  <c r="B13" i="25"/>
  <c r="D13" i="25" s="1"/>
  <c r="H13" i="25" s="1"/>
  <c r="B12" i="25"/>
  <c r="D12" i="25" s="1"/>
  <c r="H12" i="25" s="1"/>
  <c r="B11" i="25"/>
  <c r="D11" i="25" s="1"/>
  <c r="H11" i="25" s="1"/>
  <c r="B10" i="25"/>
  <c r="D10" i="25" s="1"/>
  <c r="H10" i="25" s="1"/>
  <c r="B9" i="25"/>
  <c r="D9" i="25" s="1"/>
  <c r="H9" i="25" s="1"/>
  <c r="B8" i="25"/>
  <c r="D8" i="25" s="1"/>
  <c r="H8" i="25" s="1"/>
  <c r="B7" i="25"/>
  <c r="D7" i="25" s="1"/>
  <c r="H7" i="25" s="1"/>
  <c r="B6" i="25"/>
  <c r="D6" i="25" s="1"/>
  <c r="H6" i="25" s="1"/>
  <c r="J17" i="18"/>
  <c r="B18" i="18"/>
  <c r="E18" i="18" s="1"/>
  <c r="F18" i="18" s="1"/>
  <c r="B19" i="18"/>
  <c r="E19" i="18" s="1"/>
  <c r="B20" i="18"/>
  <c r="E20" i="18" s="1"/>
  <c r="B21" i="18"/>
  <c r="E21" i="18" s="1"/>
  <c r="B22" i="18"/>
  <c r="E22" i="18" s="1"/>
  <c r="B23" i="18"/>
  <c r="E23" i="18" s="1"/>
  <c r="B24" i="18"/>
  <c r="E24" i="18" s="1"/>
  <c r="B17" i="18"/>
  <c r="E17" i="18" s="1"/>
  <c r="P7" i="18"/>
  <c r="N8" i="18"/>
  <c r="P8" i="18" s="1"/>
  <c r="N9" i="18"/>
  <c r="P9" i="18" s="1"/>
  <c r="N10" i="18"/>
  <c r="P10" i="18" s="1"/>
  <c r="N11" i="18"/>
  <c r="P11" i="18" s="1"/>
  <c r="N12" i="18"/>
  <c r="P12" i="18" s="1"/>
  <c r="N13" i="18"/>
  <c r="P13" i="18" s="1"/>
  <c r="P6" i="18"/>
  <c r="I7" i="18"/>
  <c r="L7" i="18" s="1"/>
  <c r="I8" i="18"/>
  <c r="L8" i="18" s="1"/>
  <c r="I9" i="18"/>
  <c r="L9" i="18" s="1"/>
  <c r="I10" i="18"/>
  <c r="L10" i="18" s="1"/>
  <c r="I11" i="18"/>
  <c r="L11" i="18" s="1"/>
  <c r="I12" i="18"/>
  <c r="L12" i="18" s="1"/>
  <c r="I13" i="18"/>
  <c r="L13" i="18" s="1"/>
  <c r="I6" i="18"/>
  <c r="L6" i="18" s="1"/>
  <c r="B8" i="18"/>
  <c r="D8" i="18" s="1"/>
  <c r="B9" i="18"/>
  <c r="D9" i="18" s="1"/>
  <c r="B10" i="18"/>
  <c r="D10" i="18" s="1"/>
  <c r="B11" i="18"/>
  <c r="D11" i="18" s="1"/>
  <c r="B12" i="18"/>
  <c r="D12" i="18" s="1"/>
  <c r="B13" i="18"/>
  <c r="D13" i="18" s="1"/>
  <c r="D6" i="18"/>
  <c r="B7" i="18"/>
  <c r="D7" i="18" s="1"/>
  <c r="M9" i="23" l="1"/>
  <c r="M5" i="23"/>
  <c r="M8" i="23"/>
  <c r="M11" i="23"/>
  <c r="M10" i="23"/>
  <c r="M7" i="23"/>
  <c r="M6" i="23"/>
  <c r="M4" i="23"/>
  <c r="I4" i="23"/>
  <c r="I5" i="23"/>
  <c r="I11" i="23"/>
  <c r="I10" i="23"/>
  <c r="I9" i="23"/>
  <c r="I8" i="23"/>
  <c r="I7" i="23"/>
  <c r="I6" i="23"/>
  <c r="H11" i="23"/>
  <c r="H10" i="23"/>
  <c r="H9" i="23"/>
  <c r="H8" i="23"/>
  <c r="H7" i="23"/>
  <c r="H6" i="23"/>
  <c r="H5" i="23"/>
  <c r="H4" i="23"/>
  <c r="F23" i="26"/>
  <c r="F22" i="26"/>
  <c r="F21" i="26"/>
  <c r="R13" i="26"/>
  <c r="R12" i="26"/>
  <c r="R11" i="26"/>
  <c r="R10" i="26"/>
  <c r="R9" i="26"/>
  <c r="R8" i="26"/>
  <c r="R7" i="26"/>
  <c r="R6" i="26"/>
  <c r="N5" i="23" l="1"/>
  <c r="M22" i="26"/>
  <c r="N22" i="26" s="1"/>
  <c r="M21" i="26"/>
  <c r="N21" i="26" s="1"/>
  <c r="M23" i="26"/>
  <c r="N23" i="26" s="1"/>
  <c r="M18" i="26"/>
  <c r="N18" i="26" s="1"/>
  <c r="F20" i="26"/>
  <c r="M20" i="26" s="1"/>
  <c r="N20" i="26" s="1"/>
  <c r="N4" i="23"/>
  <c r="F19" i="26"/>
  <c r="M19" i="26" s="1"/>
  <c r="N19" i="26" s="1"/>
  <c r="F24" i="26"/>
  <c r="M24" i="26" s="1"/>
  <c r="N24" i="26" s="1"/>
  <c r="F17" i="26"/>
  <c r="G21" i="25"/>
  <c r="G17" i="25"/>
  <c r="G7" i="25"/>
  <c r="G8" i="25"/>
  <c r="G9" i="25"/>
  <c r="G10" i="25"/>
  <c r="G11" i="25"/>
  <c r="G12" i="25"/>
  <c r="G13" i="25"/>
  <c r="G6" i="25"/>
  <c r="G24" i="25"/>
  <c r="F24" i="25"/>
  <c r="G23" i="25"/>
  <c r="F23" i="25"/>
  <c r="M23" i="25" s="1"/>
  <c r="N23" i="25" s="1"/>
  <c r="G22" i="25"/>
  <c r="F22" i="25"/>
  <c r="F21" i="25"/>
  <c r="G20" i="25"/>
  <c r="F20" i="25"/>
  <c r="G19" i="25"/>
  <c r="F19" i="25"/>
  <c r="G18" i="25"/>
  <c r="R13" i="25"/>
  <c r="R12" i="25"/>
  <c r="R11" i="25"/>
  <c r="R10" i="25"/>
  <c r="R9" i="25"/>
  <c r="R8" i="25"/>
  <c r="R7" i="25"/>
  <c r="R6" i="25"/>
  <c r="L6" i="24"/>
  <c r="L7" i="24"/>
  <c r="L8" i="24"/>
  <c r="L9" i="24"/>
  <c r="L10" i="24"/>
  <c r="L11" i="24"/>
  <c r="L12" i="24"/>
  <c r="M17" i="26" l="1"/>
  <c r="N17" i="26" s="1"/>
  <c r="O17" i="26" s="1"/>
  <c r="M21" i="25"/>
  <c r="N21" i="25" s="1"/>
  <c r="M22" i="25"/>
  <c r="N22" i="25" s="1"/>
  <c r="M20" i="25"/>
  <c r="N20" i="25" s="1"/>
  <c r="M19" i="25"/>
  <c r="N19" i="25" s="1"/>
  <c r="M24" i="25"/>
  <c r="N24" i="25" s="1"/>
  <c r="M18" i="25"/>
  <c r="N18" i="25" s="1"/>
  <c r="F17" i="25"/>
  <c r="M17" i="25" s="1"/>
  <c r="N17" i="25" s="1"/>
  <c r="L5" i="24"/>
  <c r="K18" i="18"/>
  <c r="K19" i="18"/>
  <c r="K20" i="18"/>
  <c r="K21" i="18"/>
  <c r="K22" i="18"/>
  <c r="K23" i="18"/>
  <c r="K24" i="18"/>
  <c r="K17" i="18"/>
  <c r="O17" i="25" l="1"/>
  <c r="H6" i="24"/>
  <c r="H9" i="24"/>
  <c r="H8" i="24"/>
  <c r="H10" i="24"/>
  <c r="H12" i="24"/>
  <c r="H11" i="24"/>
  <c r="H7" i="24"/>
  <c r="H5" i="24"/>
  <c r="F19" i="18"/>
  <c r="F20" i="18"/>
  <c r="F21" i="18"/>
  <c r="F22" i="18"/>
  <c r="F23" i="18"/>
  <c r="F24" i="18"/>
  <c r="F17" i="18"/>
  <c r="Q7" i="18"/>
  <c r="Q8" i="18"/>
  <c r="Q9" i="18"/>
  <c r="Q10" i="18"/>
  <c r="Q11" i="18"/>
  <c r="Q12" i="18"/>
  <c r="Q13" i="18"/>
  <c r="Q6" i="18"/>
  <c r="H6" i="18"/>
  <c r="M7" i="18"/>
  <c r="M8" i="18"/>
  <c r="M9" i="18"/>
  <c r="M10" i="18"/>
  <c r="M11" i="18"/>
  <c r="M12" i="18"/>
  <c r="M13" i="18"/>
  <c r="H7" i="18"/>
  <c r="H8" i="18"/>
  <c r="H10" i="18"/>
  <c r="H11" i="18"/>
  <c r="H12" i="18"/>
  <c r="H13" i="18"/>
  <c r="M18" i="18" l="1"/>
  <c r="M21" i="18"/>
  <c r="M23" i="18"/>
  <c r="M24" i="18"/>
  <c r="M22" i="18"/>
  <c r="M19" i="18"/>
  <c r="H9" i="18"/>
  <c r="M20" i="18" s="1"/>
  <c r="G12" i="24" l="1"/>
  <c r="G11" i="24"/>
  <c r="G10" i="24"/>
  <c r="G9" i="24"/>
  <c r="G8" i="24"/>
  <c r="G7" i="24"/>
  <c r="G6" i="24"/>
  <c r="G5" i="24"/>
  <c r="G23" i="24" l="1"/>
  <c r="M23" i="24" s="1"/>
  <c r="N23" i="24" s="1"/>
  <c r="G22" i="24"/>
  <c r="M22" i="24" s="1"/>
  <c r="N22" i="24" s="1"/>
  <c r="G21" i="24"/>
  <c r="M21" i="24" s="1"/>
  <c r="N21" i="24" s="1"/>
  <c r="G20" i="24"/>
  <c r="M20" i="24" s="1"/>
  <c r="N20" i="24" s="1"/>
  <c r="G19" i="24"/>
  <c r="M19" i="24" s="1"/>
  <c r="N19" i="24" s="1"/>
  <c r="G18" i="24"/>
  <c r="M18" i="24" s="1"/>
  <c r="N18" i="24" s="1"/>
  <c r="G17" i="24"/>
  <c r="G16" i="24"/>
  <c r="M17" i="24" l="1"/>
  <c r="N17" i="24" s="1"/>
  <c r="N7" i="23"/>
  <c r="O7" i="23" s="1"/>
  <c r="N11" i="23"/>
  <c r="O11" i="23" s="1"/>
  <c r="N10" i="23"/>
  <c r="O10" i="23" s="1"/>
  <c r="N9" i="23"/>
  <c r="O9" i="23" s="1"/>
  <c r="N8" i="23"/>
  <c r="O8" i="23" s="1"/>
  <c r="N6" i="23"/>
  <c r="O6" i="23" s="1"/>
  <c r="O5" i="23"/>
  <c r="O4" i="23"/>
  <c r="P4" i="23" l="1"/>
  <c r="G8" i="18" l="1"/>
  <c r="G9" i="18"/>
  <c r="G10" i="18"/>
  <c r="G11" i="18"/>
  <c r="G12" i="18"/>
  <c r="G13" i="18"/>
  <c r="G7" i="18"/>
  <c r="G6" i="18"/>
  <c r="G19" i="18"/>
  <c r="G20" i="18"/>
  <c r="G21" i="18"/>
  <c r="G22" i="18"/>
  <c r="G23" i="18"/>
  <c r="G24" i="18"/>
  <c r="G18" i="18"/>
  <c r="G17" i="18"/>
  <c r="R8" i="18"/>
  <c r="R9" i="18"/>
  <c r="R10" i="18"/>
  <c r="R11" i="18"/>
  <c r="R12" i="18"/>
  <c r="R13" i="18"/>
  <c r="R7" i="18"/>
  <c r="R6" i="18"/>
  <c r="N19" i="18" l="1"/>
  <c r="N18" i="18"/>
  <c r="N24" i="18"/>
  <c r="N23" i="18"/>
  <c r="N22" i="18"/>
  <c r="N21" i="18"/>
  <c r="N20" i="18"/>
  <c r="M6" i="18"/>
  <c r="M17" i="18" l="1"/>
  <c r="N17" i="18" s="1"/>
  <c r="O17" i="18" s="1"/>
  <c r="M16" i="24"/>
  <c r="N16" i="24" s="1"/>
  <c r="O16" i="24" s="1"/>
</calcChain>
</file>

<file path=xl/sharedStrings.xml><?xml version="1.0" encoding="utf-8"?>
<sst xmlns="http://schemas.openxmlformats.org/spreadsheetml/2006/main" count="749" uniqueCount="476">
  <si>
    <t>Base (m)</t>
  </si>
  <si>
    <t>Altura (m)</t>
  </si>
  <si>
    <t>Divisor</t>
  </si>
  <si>
    <t>Perfil</t>
  </si>
  <si>
    <t>Cód</t>
  </si>
  <si>
    <t>Modelo</t>
  </si>
  <si>
    <t>R$ Lin.</t>
  </si>
  <si>
    <t>Total</t>
  </si>
  <si>
    <t>Qtd.</t>
  </si>
  <si>
    <t>R$ m²</t>
  </si>
  <si>
    <t xml:space="preserve">Unitario </t>
  </si>
  <si>
    <t>Portas Prontas</t>
  </si>
  <si>
    <t>Cód.</t>
  </si>
  <si>
    <t>Qtde</t>
  </si>
  <si>
    <t>DIVISORES</t>
  </si>
  <si>
    <t>Qt</t>
  </si>
  <si>
    <t>Puxador</t>
  </si>
  <si>
    <t>Tamanho (m)</t>
  </si>
  <si>
    <t>Valor Total:</t>
  </si>
  <si>
    <t>Perfil RM-066 Inox Escovado (Travessa)</t>
  </si>
  <si>
    <t>Perfil RM-069 Inox Escovado (Travessa Superior)</t>
  </si>
  <si>
    <t>Perfil RM-203 Inox Escovado</t>
  </si>
  <si>
    <t>Perfil Trilho Guia RM-200 Anodizado Sequenziato</t>
  </si>
  <si>
    <t>Metros</t>
  </si>
  <si>
    <t>M²</t>
  </si>
  <si>
    <t>Mão de Obra Portas</t>
  </si>
  <si>
    <t>Mão de obra Jateado</t>
  </si>
  <si>
    <t>Furo Tomada</t>
  </si>
  <si>
    <t>Furo 8mm a 12mm</t>
  </si>
  <si>
    <t>Furo 15mm a 60mm</t>
  </si>
  <si>
    <t>Furo 65mm a 110mm</t>
  </si>
  <si>
    <t>Película / Pintura / Serviços</t>
  </si>
  <si>
    <t>Fume 4MM</t>
  </si>
  <si>
    <t>Extra Clear 4MM</t>
  </si>
  <si>
    <t>Incolor 8MM</t>
  </si>
  <si>
    <t>Acidato Fume 4MM</t>
  </si>
  <si>
    <t>1901 Anodizado (1901)</t>
  </si>
  <si>
    <t>1901 Branco (1901)</t>
  </si>
  <si>
    <t>1901 Inox Escovado (1901)</t>
  </si>
  <si>
    <t>1901 Preto (1901)</t>
  </si>
  <si>
    <t>1902 Anodizado (1902)</t>
  </si>
  <si>
    <t>1902 Branco (1902)</t>
  </si>
  <si>
    <t>1902 Inox Escovado (1902)</t>
  </si>
  <si>
    <t>1902 Preto (1902)</t>
  </si>
  <si>
    <t>2003 Anodizado (2003)</t>
  </si>
  <si>
    <t>2003 Branco (2003)</t>
  </si>
  <si>
    <t>2003 Inox Escovado (2003)</t>
  </si>
  <si>
    <t>2003 Inox Fosco (2003)</t>
  </si>
  <si>
    <t>2003 Preto (2003)</t>
  </si>
  <si>
    <t>2004 Anodizado (2004)</t>
  </si>
  <si>
    <t>DES-247 Bronze 1001 (2003)</t>
  </si>
  <si>
    <t>DES-247 Bronze 1002 (2003)</t>
  </si>
  <si>
    <t>DES-247 Preto (2003)</t>
  </si>
  <si>
    <t>Oculto 3618 Anodizado (3618)</t>
  </si>
  <si>
    <t>Oculto 3618 Branco (3618)</t>
  </si>
  <si>
    <t>Oculto 3618 Inox Escovado (3618)</t>
  </si>
  <si>
    <t>Oculto 3618 Preto (3618)</t>
  </si>
  <si>
    <t>Vidros Prontas</t>
  </si>
  <si>
    <t>Tamanho das Peças</t>
  </si>
  <si>
    <t>DES-247 Branco Fosco (2003)</t>
  </si>
  <si>
    <t>Coverglass Branco 4MM</t>
  </si>
  <si>
    <t>Perfil Superior</t>
  </si>
  <si>
    <t>Perfil Inferior</t>
  </si>
  <si>
    <t>Valor</t>
  </si>
  <si>
    <t>Branca Simples</t>
  </si>
  <si>
    <t>Colorida Simples</t>
  </si>
  <si>
    <t>Colorida Premium</t>
  </si>
  <si>
    <t>Especiale</t>
  </si>
  <si>
    <t>Recouros</t>
  </si>
  <si>
    <t>Pintura</t>
  </si>
  <si>
    <t>Jato (+ R$ 50,00)</t>
  </si>
  <si>
    <t>Redondo</t>
  </si>
  <si>
    <t>Só Corte</t>
  </si>
  <si>
    <r>
      <t xml:space="preserve">Largura </t>
    </r>
    <r>
      <rPr>
        <b/>
        <i/>
        <u/>
        <sz val="9"/>
        <rFont val="Arial"/>
        <family val="2"/>
      </rPr>
      <t>SEM</t>
    </r>
    <r>
      <rPr>
        <b/>
        <sz val="9"/>
        <rFont val="Arial"/>
        <family val="2"/>
      </rPr>
      <t xml:space="preserve"> Pux (m)</t>
    </r>
  </si>
  <si>
    <r>
      <t xml:space="preserve">Altura </t>
    </r>
    <r>
      <rPr>
        <b/>
        <i/>
        <u/>
        <sz val="9"/>
        <rFont val="Arial"/>
        <family val="2"/>
      </rPr>
      <t>COM</t>
    </r>
    <r>
      <rPr>
        <b/>
        <sz val="9"/>
        <rFont val="Arial"/>
        <family val="2"/>
      </rPr>
      <t xml:space="preserve"> Pux (m)</t>
    </r>
  </si>
  <si>
    <t>Anodizado</t>
  </si>
  <si>
    <t>Inox Escovado</t>
  </si>
  <si>
    <t>Preto</t>
  </si>
  <si>
    <t>Branco</t>
  </si>
  <si>
    <t>Bronze 1001</t>
  </si>
  <si>
    <t>Inox Fosco</t>
  </si>
  <si>
    <t>Bronze 1002</t>
  </si>
  <si>
    <t>Codigo</t>
  </si>
  <si>
    <t>Descrição</t>
  </si>
  <si>
    <t>Preço</t>
  </si>
  <si>
    <t>Acabamento</t>
  </si>
  <si>
    <t>Tipo</t>
  </si>
  <si>
    <t>Perfil RM-066 Anodizado (Travessa)</t>
  </si>
  <si>
    <t>Perfil RM-066 Preto (Travessa)</t>
  </si>
  <si>
    <t>Perfil RM-205 Inox Escovado</t>
  </si>
  <si>
    <t>Acidato Bronze 4MM</t>
  </si>
  <si>
    <t>Acidato Prata 4MM</t>
  </si>
  <si>
    <t>Argentato Bronze 4MM</t>
  </si>
  <si>
    <t>Argentato Fume 4MM</t>
  </si>
  <si>
    <t>Argentato Prata 4MM</t>
  </si>
  <si>
    <t>Bronze 4MM</t>
  </si>
  <si>
    <t>Canelado Real 3/4MM</t>
  </si>
  <si>
    <t>Coverglass Preto 4MM</t>
  </si>
  <si>
    <t>Extra Branco 4MM</t>
  </si>
  <si>
    <t>Incolor 10MM</t>
  </si>
  <si>
    <t>Incolor 6MM</t>
  </si>
  <si>
    <t>Incolor 4MM</t>
  </si>
  <si>
    <t>Mini Boreal Ubv 3/4MM</t>
  </si>
  <si>
    <t>Piramide 3/4</t>
  </si>
  <si>
    <t>Refletivo Incolor 4MM</t>
  </si>
  <si>
    <t>Código</t>
  </si>
  <si>
    <t>Item</t>
  </si>
  <si>
    <t>Vidros</t>
  </si>
  <si>
    <t>Extra</t>
  </si>
  <si>
    <t>Perfil_Puxador</t>
  </si>
  <si>
    <t>Qtd.
M2</t>
  </si>
  <si>
    <t>Dourado</t>
  </si>
  <si>
    <t>2003 Dourado (2003)</t>
  </si>
  <si>
    <t xml:space="preserve">010562              </t>
  </si>
  <si>
    <t>Perfil 3025 Anodizado (3025)</t>
  </si>
  <si>
    <t xml:space="preserve">015490              </t>
  </si>
  <si>
    <t>Perfil 3025 Branco (3025)</t>
  </si>
  <si>
    <t xml:space="preserve">015525              </t>
  </si>
  <si>
    <t>Perfil 3025 Dourado (3025)</t>
  </si>
  <si>
    <t xml:space="preserve">014584              </t>
  </si>
  <si>
    <t>Perfil 3025 Preto (3025)</t>
  </si>
  <si>
    <t xml:space="preserve">011131              </t>
  </si>
  <si>
    <t>Perfil 3044 Inox Escovado (3044) </t>
  </si>
  <si>
    <t xml:space="preserve">002467              </t>
  </si>
  <si>
    <t>Perfil 3044 Preto (3044) </t>
  </si>
  <si>
    <t xml:space="preserve">004482              </t>
  </si>
  <si>
    <t>Perfil 3136 Anodizado (3136)</t>
  </si>
  <si>
    <t xml:space="preserve">003532              </t>
  </si>
  <si>
    <t>Perfil 3136 Branco (3136)</t>
  </si>
  <si>
    <t xml:space="preserve">000015              </t>
  </si>
  <si>
    <t>Perfil 3136 Bronze 1001 (3136)</t>
  </si>
  <si>
    <t xml:space="preserve">015523              </t>
  </si>
  <si>
    <t>Perfil 3136 Dourado (3136)</t>
  </si>
  <si>
    <t xml:space="preserve">014259              </t>
  </si>
  <si>
    <t>Perfil 3136 Inox Escovado (3136)</t>
  </si>
  <si>
    <t xml:space="preserve">003497              </t>
  </si>
  <si>
    <t>Perfil 3136 Preto (3136)</t>
  </si>
  <si>
    <t xml:space="preserve">013800              </t>
  </si>
  <si>
    <t>Perfil 3144 Anodizado</t>
  </si>
  <si>
    <t xml:space="preserve">016016              </t>
  </si>
  <si>
    <t>Perfil 3144 Bronze 1001</t>
  </si>
  <si>
    <t xml:space="preserve">016004              </t>
  </si>
  <si>
    <t>Perfil 3144 Inox Escovado</t>
  </si>
  <si>
    <t xml:space="preserve">000753              </t>
  </si>
  <si>
    <t>Perfil 3152 Branco Fosco (3152) </t>
  </si>
  <si>
    <t xml:space="preserve">011182              </t>
  </si>
  <si>
    <t>Perfil 3152 Bronze 1001 (3152) </t>
  </si>
  <si>
    <t xml:space="preserve">007484              </t>
  </si>
  <si>
    <t>Perfil 3152 Inox Fosco (3152) </t>
  </si>
  <si>
    <t xml:space="preserve">007521              </t>
  </si>
  <si>
    <t>Perfil 3345 Anodizado (3345) </t>
  </si>
  <si>
    <t xml:space="preserve">004498              </t>
  </si>
  <si>
    <t>Perfil 3345 Branco (3345)</t>
  </si>
  <si>
    <t xml:space="preserve">000639              </t>
  </si>
  <si>
    <t>Perfil 3345 Inox Escovado (3345) </t>
  </si>
  <si>
    <t xml:space="preserve">002466              </t>
  </si>
  <si>
    <t>Perfil 3345 Inox Fosco (3345) </t>
  </si>
  <si>
    <t xml:space="preserve">004991              </t>
  </si>
  <si>
    <t>Perfil 3345 Preto (3345)</t>
  </si>
  <si>
    <t xml:space="preserve">010791              </t>
  </si>
  <si>
    <t>Perfil 3446 Anodizado (3446)</t>
  </si>
  <si>
    <t xml:space="preserve">004058              </t>
  </si>
  <si>
    <t>Perfil 3446 Branco (3446)</t>
  </si>
  <si>
    <t xml:space="preserve">015468              </t>
  </si>
  <si>
    <t>Perfil 3446 Bronze 1001 (3446)</t>
  </si>
  <si>
    <t xml:space="preserve">002188              </t>
  </si>
  <si>
    <t>Perfil 3446 Inox Escovado (3446)</t>
  </si>
  <si>
    <t xml:space="preserve">004060              </t>
  </si>
  <si>
    <t>Perfil 3446 Preto (3446)</t>
  </si>
  <si>
    <t xml:space="preserve">005106              </t>
  </si>
  <si>
    <t>Perfil 3447 Anodizado</t>
  </si>
  <si>
    <t xml:space="preserve">001762              </t>
  </si>
  <si>
    <t xml:space="preserve">009948              </t>
  </si>
  <si>
    <t>Perfil DES-011 Anodizado (3528) </t>
  </si>
  <si>
    <t xml:space="preserve">012568              </t>
  </si>
  <si>
    <t>Perfil DES-011 Inox Escovado (3528)</t>
  </si>
  <si>
    <t xml:space="preserve">010121              </t>
  </si>
  <si>
    <t>Perfil DES-016 Anodizado (3060) </t>
  </si>
  <si>
    <t xml:space="preserve">012592              </t>
  </si>
  <si>
    <t>Perfil DES-016 Branco (3060) </t>
  </si>
  <si>
    <t xml:space="preserve">012569              </t>
  </si>
  <si>
    <t>Perfil DES-016 Preto (3060)</t>
  </si>
  <si>
    <t xml:space="preserve">010122              </t>
  </si>
  <si>
    <t>Perfil DES-018 Anodizado (3694)</t>
  </si>
  <si>
    <t xml:space="preserve">013992              </t>
  </si>
  <si>
    <t xml:space="preserve">010051              </t>
  </si>
  <si>
    <t>Perfil DES-198 Anodizado (3579)</t>
  </si>
  <si>
    <t xml:space="preserve">012100              </t>
  </si>
  <si>
    <t>Perfil DES-198 Branco (3579)</t>
  </si>
  <si>
    <t xml:space="preserve">011795              </t>
  </si>
  <si>
    <t>Perfil DES-198 Bronze 1001 (3579) </t>
  </si>
  <si>
    <t xml:space="preserve">012202              </t>
  </si>
  <si>
    <t>Perfil DES-198 Bronze 1002 (3579) </t>
  </si>
  <si>
    <t xml:space="preserve">011277              </t>
  </si>
  <si>
    <t>Perfil DES-198 Inox Escovado (3579)</t>
  </si>
  <si>
    <t xml:space="preserve">012119              </t>
  </si>
  <si>
    <t>Perfil DES-198 Preto (3579)</t>
  </si>
  <si>
    <t xml:space="preserve">003525              </t>
  </si>
  <si>
    <t>Perfil DES-226 Anodizado (226) </t>
  </si>
  <si>
    <t xml:space="preserve">003531              </t>
  </si>
  <si>
    <t>Perfil DES-226 Inox Escovado (226)</t>
  </si>
  <si>
    <t xml:space="preserve">003530              </t>
  </si>
  <si>
    <t>Perfil DES-233 Anodizado (233)</t>
  </si>
  <si>
    <t xml:space="preserve">003745              </t>
  </si>
  <si>
    <t>Perfil Des-233 Inox Escovado (233)</t>
  </si>
  <si>
    <t xml:space="preserve">004650              </t>
  </si>
  <si>
    <t>Perfil Des-279 Anodizado (279)</t>
  </si>
  <si>
    <t xml:space="preserve">004148              </t>
  </si>
  <si>
    <t>Perfil DES-279 Inox Escovado (279)</t>
  </si>
  <si>
    <t xml:space="preserve">011635              </t>
  </si>
  <si>
    <t>Perfil DES-902 Anodizado (3170)</t>
  </si>
  <si>
    <t xml:space="preserve">011660              </t>
  </si>
  <si>
    <t>Perfil DES-902 Inox Escovado (3170)</t>
  </si>
  <si>
    <t xml:space="preserve">011096              </t>
  </si>
  <si>
    <t xml:space="preserve">011097              </t>
  </si>
  <si>
    <t xml:space="preserve">010752              </t>
  </si>
  <si>
    <t>Perfil RM-059 Inox Escovado (3579) </t>
  </si>
  <si>
    <t xml:space="preserve">004492              </t>
  </si>
  <si>
    <t>Perfil Puxador 3177T Anodizado (3177T)</t>
  </si>
  <si>
    <t xml:space="preserve">004977              </t>
  </si>
  <si>
    <t>Perfil Puxador 3177T Branco Fosco (3177T)</t>
  </si>
  <si>
    <t xml:space="preserve">002191              </t>
  </si>
  <si>
    <t>Perfil Puxador 3177T Inox Escovado (3177T)</t>
  </si>
  <si>
    <t xml:space="preserve">004984              </t>
  </si>
  <si>
    <t>Perfil Puxador 3177T Preto Fosco (3177T)</t>
  </si>
  <si>
    <t xml:space="preserve">015590              </t>
  </si>
  <si>
    <t>Perfil Puxador 3178 Dourado (3178)</t>
  </si>
  <si>
    <t xml:space="preserve">004500              </t>
  </si>
  <si>
    <t>Perfil Puxador 3178T Anodizado (3178T)</t>
  </si>
  <si>
    <t xml:space="preserve">003498              </t>
  </si>
  <si>
    <t>Perfil Puxador 3178T Branco Fosco (3178T)</t>
  </si>
  <si>
    <t xml:space="preserve">003499              </t>
  </si>
  <si>
    <t>Perfil Puxador 3178T Preto Fosco (3178T)</t>
  </si>
  <si>
    <t xml:space="preserve">003523              </t>
  </si>
  <si>
    <t>Perfil Puxador 3180 Anodizado (3180) </t>
  </si>
  <si>
    <t xml:space="preserve">007906              </t>
  </si>
  <si>
    <t>Perfil Puxador 3180 Inox Escovado (3180) </t>
  </si>
  <si>
    <t xml:space="preserve">011398              </t>
  </si>
  <si>
    <t>Perfil Puxador 3180T Branco Fosco (3180T)  </t>
  </si>
  <si>
    <t xml:space="preserve">011412              </t>
  </si>
  <si>
    <t>Perfil Puxador 3180T Preto Fosco (3180T)  </t>
  </si>
  <si>
    <t xml:space="preserve">004493              </t>
  </si>
  <si>
    <t>Perfil Puxador 3365 Anodizado (3365)</t>
  </si>
  <si>
    <t xml:space="preserve">012558              </t>
  </si>
  <si>
    <t>Perfil Puxador 3365 Branco (3365) </t>
  </si>
  <si>
    <t xml:space="preserve">004495              </t>
  </si>
  <si>
    <t>Perfil Puxador 3365 Inox Escovado (3365)</t>
  </si>
  <si>
    <t xml:space="preserve">012523              </t>
  </si>
  <si>
    <t>Perfil Puxador 3365 Preto (3365)</t>
  </si>
  <si>
    <t xml:space="preserve">013799              </t>
  </si>
  <si>
    <t>Perfil Puxador 4007 Anodizado</t>
  </si>
  <si>
    <t xml:space="preserve">013821              </t>
  </si>
  <si>
    <t>Perfil Puxador 5007 Anodizado 5,3 Mts</t>
  </si>
  <si>
    <t xml:space="preserve">013993              </t>
  </si>
  <si>
    <t>Perfil Puxador DES-204 Aluminio Natural (204)</t>
  </si>
  <si>
    <t xml:space="preserve">009951              </t>
  </si>
  <si>
    <t>Perfil Puxador DES-204 Anodizado (204)</t>
  </si>
  <si>
    <t xml:space="preserve">012762              </t>
  </si>
  <si>
    <t>Perfil Puxador DES-204 Branco Fosco (204) </t>
  </si>
  <si>
    <t xml:space="preserve">011796              </t>
  </si>
  <si>
    <t>Perfil Puxador DES-204 Bronze 1001 (204) </t>
  </si>
  <si>
    <t xml:space="preserve">011659              </t>
  </si>
  <si>
    <t>Perfil Puxador DES-204 Inox Escovado (204)</t>
  </si>
  <si>
    <t xml:space="preserve">012774              </t>
  </si>
  <si>
    <t>Perfil Puxador DES-204 Preto (204) </t>
  </si>
  <si>
    <t xml:space="preserve">004424              </t>
  </si>
  <si>
    <t>Perfil Puxador DES-225 Anodizado (225)</t>
  </si>
  <si>
    <t xml:space="preserve">004149              </t>
  </si>
  <si>
    <t>Perfil Puxador DES-225 Inox Escovado (225)</t>
  </si>
  <si>
    <t xml:space="preserve">003747              </t>
  </si>
  <si>
    <t>Perfil Puxador DES-227 Anodizado (227)</t>
  </si>
  <si>
    <t xml:space="preserve">003748              </t>
  </si>
  <si>
    <t>Perfil Puxador DES-227 Inox Escovado (227)</t>
  </si>
  <si>
    <t xml:space="preserve">003526              </t>
  </si>
  <si>
    <t>Perfil Puxador DES-950 Anodizado (950)</t>
  </si>
  <si>
    <t xml:space="preserve">012099              </t>
  </si>
  <si>
    <t>Perfil Puxador DES-950 Branco Fosco (950) </t>
  </si>
  <si>
    <t xml:space="preserve">012019              </t>
  </si>
  <si>
    <t>Perfil Puxador DES-950 Bronze 1001 (950)</t>
  </si>
  <si>
    <t xml:space="preserve">012117              </t>
  </si>
  <si>
    <t>Perfil Puxador DES-950 Bronze 1002 (950) </t>
  </si>
  <si>
    <t xml:space="preserve">006082              </t>
  </si>
  <si>
    <t>Perfil Puxador DES-950 Inox Escovado (950)</t>
  </si>
  <si>
    <t xml:space="preserve">012035              </t>
  </si>
  <si>
    <t>Perfil Puxador DES-950 Preto Fosco (950)</t>
  </si>
  <si>
    <t xml:space="preserve">011098              </t>
  </si>
  <si>
    <t>Perfil Puxador Di Vetro 5 Anodizado (204 Economico) Imp</t>
  </si>
  <si>
    <t xml:space="preserve">011099              </t>
  </si>
  <si>
    <t>Perfil Puxador Di Vetro 5 Inox Escovado (204 Economico) Imp</t>
  </si>
  <si>
    <t xml:space="preserve">004813              </t>
  </si>
  <si>
    <t>Perfil Puxador Di Vetro 5 Titanium (204 Economico)</t>
  </si>
  <si>
    <t xml:space="preserve">016005              </t>
  </si>
  <si>
    <t>Perfil Puxador 5007 Bronze 1001 5,3 Mts</t>
  </si>
  <si>
    <t xml:space="preserve">016127              </t>
  </si>
  <si>
    <t>Perfil Puxador DES-225 Preto (225)</t>
  </si>
  <si>
    <t xml:space="preserve">016129              </t>
  </si>
  <si>
    <t>Perfil Puxador DES-227 Preto (227)</t>
  </si>
  <si>
    <t xml:space="preserve">014174              </t>
  </si>
  <si>
    <t xml:space="preserve">014653              </t>
  </si>
  <si>
    <t xml:space="preserve">015526              </t>
  </si>
  <si>
    <t xml:space="preserve">005113              </t>
  </si>
  <si>
    <t xml:space="preserve">015527              </t>
  </si>
  <si>
    <t xml:space="preserve">006772              </t>
  </si>
  <si>
    <t xml:space="preserve">003196              </t>
  </si>
  <si>
    <t xml:space="preserve">003540              </t>
  </si>
  <si>
    <t xml:space="preserve">007802              </t>
  </si>
  <si>
    <t xml:space="preserve">015869              </t>
  </si>
  <si>
    <t xml:space="preserve">015729              </t>
  </si>
  <si>
    <t xml:space="preserve">015524              </t>
  </si>
  <si>
    <t xml:space="preserve">011790              </t>
  </si>
  <si>
    <t xml:space="preserve">014366              </t>
  </si>
  <si>
    <t xml:space="preserve">005393              </t>
  </si>
  <si>
    <t xml:space="preserve">003194              </t>
  </si>
  <si>
    <t xml:space="preserve">003656              </t>
  </si>
  <si>
    <t xml:space="preserve">003195              </t>
  </si>
  <si>
    <t xml:space="preserve">003658              </t>
  </si>
  <si>
    <t xml:space="preserve">003795              </t>
  </si>
  <si>
    <t xml:space="preserve">004055              </t>
  </si>
  <si>
    <t xml:space="preserve">015918              </t>
  </si>
  <si>
    <t xml:space="preserve">003797              </t>
  </si>
  <si>
    <t xml:space="preserve">004481              </t>
  </si>
  <si>
    <t xml:space="preserve">003209              </t>
  </si>
  <si>
    <t xml:space="preserve">003659              </t>
  </si>
  <si>
    <t xml:space="preserve">007086              </t>
  </si>
  <si>
    <t xml:space="preserve">007046              </t>
  </si>
  <si>
    <t xml:space="preserve">016138              </t>
  </si>
  <si>
    <t xml:space="preserve">007107              </t>
  </si>
  <si>
    <t xml:space="preserve">013048              </t>
  </si>
  <si>
    <t xml:space="preserve">014771              </t>
  </si>
  <si>
    <t xml:space="preserve">012840              </t>
  </si>
  <si>
    <t xml:space="preserve">014003              </t>
  </si>
  <si>
    <t xml:space="preserve">002468              </t>
  </si>
  <si>
    <t xml:space="preserve">013454              </t>
  </si>
  <si>
    <t xml:space="preserve">012965              </t>
  </si>
  <si>
    <t xml:space="preserve">002537              </t>
  </si>
  <si>
    <t xml:space="preserve">013453              </t>
  </si>
  <si>
    <t xml:space="preserve">000723              </t>
  </si>
  <si>
    <t xml:space="preserve">014962              </t>
  </si>
  <si>
    <t xml:space="preserve">014964              </t>
  </si>
  <si>
    <t xml:space="preserve">015323              </t>
  </si>
  <si>
    <t xml:space="preserve">014963              </t>
  </si>
  <si>
    <t>Puxador 2007 Inox Escovado (2010 - 21,5mm)</t>
  </si>
  <si>
    <t>Puxador 2007 Preto (2010 - 21,5mm)</t>
  </si>
  <si>
    <t>Puxador 2010 Dourado (2010 - 22,5MM)</t>
  </si>
  <si>
    <t>Puxador 2015 Branco Fosco (2015)</t>
  </si>
  <si>
    <t>Puxador 2015 Dourado (2015)</t>
  </si>
  <si>
    <t>Puxador 2015 Inox Escovado (2015)</t>
  </si>
  <si>
    <t>Puxador 2018E Anodizado (2018E)</t>
  </si>
  <si>
    <t>Puxador 2018E Inox Escovado (2018E)</t>
  </si>
  <si>
    <t>Puxador 2019 Anodizado (2019)</t>
  </si>
  <si>
    <t>Puxador 2019 Branco (2019)</t>
  </si>
  <si>
    <t>Puxador 2019 Bronze 1001 (2019)</t>
  </si>
  <si>
    <t>Puxador 2019 Dourado (2019)</t>
  </si>
  <si>
    <t>Puxador 2019 Inox Escovado (2019)</t>
  </si>
  <si>
    <t>Puxador 2019 Preto (2019)</t>
  </si>
  <si>
    <t>Puxador 2033 Anodizado (2033)</t>
  </si>
  <si>
    <t>Puxador 5015 Anodizado (5015)  </t>
  </si>
  <si>
    <t>Puxador 5015 Branco Fosco (5015)</t>
  </si>
  <si>
    <t>Puxador 5015 Inox Escovado (5015)  </t>
  </si>
  <si>
    <t>Puxador 5015 Preto Fosco (5015)</t>
  </si>
  <si>
    <t>Puxador 8015 Anodizado (8015)</t>
  </si>
  <si>
    <t>Puxador 8015 Branco Fosco (8015)</t>
  </si>
  <si>
    <t>Puxador 8015 Bronze 1001 (8015)</t>
  </si>
  <si>
    <t>Puxador 8015 Inox Escovado (8015)</t>
  </si>
  <si>
    <t>Puxador 8015 Preto Fosco (8015)</t>
  </si>
  <si>
    <t>Puxador Arezzo Anodizado (Arezzo)</t>
  </si>
  <si>
    <t>Puxador Arezzo Inox Escovado (Arezzo)</t>
  </si>
  <si>
    <t>Puxador DES-043 Anodizado (2010 - 23mm)</t>
  </si>
  <si>
    <t>Puxador Des-043 Inox Escovado (2010 - 23mm)</t>
  </si>
  <si>
    <t>Puxador DES-043 Preto (2010 - 23mm)</t>
  </si>
  <si>
    <t>Puxador DES-112 Anodizado (2015) </t>
  </si>
  <si>
    <t>Puxador DES-112 Bronze 1001 (2015) </t>
  </si>
  <si>
    <t>Puxador DES-112 Inox Escovado (2015)</t>
  </si>
  <si>
    <t>Puxador DES-112 Preto (2015) </t>
  </si>
  <si>
    <t>Puxador DES-239 Aluminio Natural (2010 - 20,5mm)</t>
  </si>
  <si>
    <t>Puxador DES-239 Anodizado (2010 - 20,5mm)</t>
  </si>
  <si>
    <t>Puxador DES-239 Branco (2010 - 20,5MM)</t>
  </si>
  <si>
    <t>Puxador DES-239 Bronze 1001 (2010 - 20,5MM)</t>
  </si>
  <si>
    <t>Puxador DES-239 Inox Escovado (2010 - 20,5mm)</t>
  </si>
  <si>
    <t>Puxador DES-239 Preto (2010 - 20,5MM)</t>
  </si>
  <si>
    <t>Puxador DES-519 Inox Escovado (2010 - 18,7mm)</t>
  </si>
  <si>
    <t>Puxador Versatile AD 001 Anodizado</t>
  </si>
  <si>
    <t>Puxador Versatile AD 001 Bronze 1001</t>
  </si>
  <si>
    <t>Puxador Versatile AD 001 Inox Escovado</t>
  </si>
  <si>
    <t>Puxador Versatile AD 001 Preto</t>
  </si>
  <si>
    <t xml:space="preserve">000210              </t>
  </si>
  <si>
    <t xml:space="preserve">013024              </t>
  </si>
  <si>
    <t xml:space="preserve">008787              </t>
  </si>
  <si>
    <t xml:space="preserve">008196              </t>
  </si>
  <si>
    <t xml:space="preserve">000211              </t>
  </si>
  <si>
    <t xml:space="preserve">011157              </t>
  </si>
  <si>
    <t xml:space="preserve">003801              </t>
  </si>
  <si>
    <t xml:space="preserve">004375              </t>
  </si>
  <si>
    <t xml:space="preserve">011767              </t>
  </si>
  <si>
    <t xml:space="preserve">001829              </t>
  </si>
  <si>
    <t xml:space="preserve">011351              </t>
  </si>
  <si>
    <t xml:space="preserve">011152              </t>
  </si>
  <si>
    <t xml:space="preserve">000253              </t>
  </si>
  <si>
    <t xml:space="preserve">003183              </t>
  </si>
  <si>
    <t xml:space="preserve">003650              </t>
  </si>
  <si>
    <t xml:space="preserve">004101              </t>
  </si>
  <si>
    <t xml:space="preserve">003102              </t>
  </si>
  <si>
    <t xml:space="preserve">001240              </t>
  </si>
  <si>
    <t xml:space="preserve">006250              </t>
  </si>
  <si>
    <t xml:space="preserve">003065              </t>
  </si>
  <si>
    <t xml:space="preserve">001106              </t>
  </si>
  <si>
    <t xml:space="preserve">003057              </t>
  </si>
  <si>
    <t xml:space="preserve">009905              </t>
  </si>
  <si>
    <t xml:space="preserve">011815              </t>
  </si>
  <si>
    <t xml:space="preserve">016216              </t>
  </si>
  <si>
    <t xml:space="preserve">003184              </t>
  </si>
  <si>
    <t xml:space="preserve">013796              </t>
  </si>
  <si>
    <t>Café 4MM</t>
  </si>
  <si>
    <t xml:space="preserve">Espelho Bronze 4MM </t>
  </si>
  <si>
    <t>Espelho Fume 4MM</t>
  </si>
  <si>
    <t>Espelho Prata 4MM Opt Cebrace</t>
  </si>
  <si>
    <t>Pontilhado</t>
  </si>
  <si>
    <t>Refletivo Champanhe 4MM</t>
  </si>
  <si>
    <t>Planilha de Cálculo para Portas de Alumínio (09/2023)</t>
  </si>
  <si>
    <t>Extra Clear 6mm</t>
  </si>
  <si>
    <t>Extra Clear 8mm</t>
  </si>
  <si>
    <t xml:space="preserve">003929              </t>
  </si>
  <si>
    <t>Perfil Puxador RM-070 Anodizado</t>
  </si>
  <si>
    <t xml:space="preserve">003359              </t>
  </si>
  <si>
    <t>Perfil Puxador RM-070 Inox Escovado</t>
  </si>
  <si>
    <t xml:space="preserve">011405              </t>
  </si>
  <si>
    <t>Perfil Puxador RM-070 Preto</t>
  </si>
  <si>
    <t xml:space="preserve">009265              </t>
  </si>
  <si>
    <t xml:space="preserve">003334              </t>
  </si>
  <si>
    <t xml:space="preserve">011407              </t>
  </si>
  <si>
    <t xml:space="preserve">003928              </t>
  </si>
  <si>
    <t>Perfil RM-069 Anodizado (Travessa Superior) </t>
  </si>
  <si>
    <t xml:space="preserve">003354              </t>
  </si>
  <si>
    <t xml:space="preserve">011406              </t>
  </si>
  <si>
    <t>Perfil RM-069 Preto (Travessa Superior) </t>
  </si>
  <si>
    <t xml:space="preserve">003935              </t>
  </si>
  <si>
    <t>Perfil RM-201 Anodizado </t>
  </si>
  <si>
    <t xml:space="preserve">004131              </t>
  </si>
  <si>
    <t>Perfil RM-201 Inox Escovado </t>
  </si>
  <si>
    <t xml:space="preserve">003360              </t>
  </si>
  <si>
    <t xml:space="preserve">005333              </t>
  </si>
  <si>
    <t xml:space="preserve">005307              </t>
  </si>
  <si>
    <t>Perfil RM-206 Anodizado </t>
  </si>
  <si>
    <t xml:space="preserve">005315              </t>
  </si>
  <si>
    <t>Perfil RM-206 Inox Matte Escuro </t>
  </si>
  <si>
    <t xml:space="preserve">003936              </t>
  </si>
  <si>
    <t>Perfil DES-226 Preto</t>
  </si>
  <si>
    <t>Perfil Di Base Inox Esc (3579 Economico) Imp</t>
  </si>
  <si>
    <t>Perfil Di Base Anod (3579 Economico) Imp </t>
  </si>
  <si>
    <t>Perfil 3470 Anod (3470) Pele de Vidro </t>
  </si>
  <si>
    <t>Perfil DES-198 Natural (3579)</t>
  </si>
  <si>
    <t>Perfil 3025 Inox Esc (3025) </t>
  </si>
  <si>
    <t>Perfil 3026 Anodizado</t>
  </si>
  <si>
    <t>Perfil 3026 Preto</t>
  </si>
  <si>
    <t>xxxx</t>
  </si>
  <si>
    <t>Perfil Puxador DES-950 Alum Natural (950)</t>
  </si>
  <si>
    <t>Vidro Refletivo Habitat Fume 4MM</t>
  </si>
  <si>
    <t>Perfil Pux 3366 Preto</t>
  </si>
  <si>
    <t>Perfil Pux 3366 Escovado</t>
  </si>
  <si>
    <t>Perfil Pux 3366 Anodizado</t>
  </si>
  <si>
    <t>Perfil Pux 3366 Bronze 1001</t>
  </si>
  <si>
    <t xml:space="preserve">Espelho Prata Guard. Moveleiro </t>
  </si>
  <si>
    <t xml:space="preserve">Espelho Prata Guardian </t>
  </si>
  <si>
    <t>Espelho Prata Cebrace</t>
  </si>
  <si>
    <t>Perfil AD-198 Anodizado (3579) Leve</t>
  </si>
  <si>
    <t>Perfil Puxador AD-204 Anodizado (204)</t>
  </si>
  <si>
    <t>Molde</t>
  </si>
  <si>
    <t>C. Moeda</t>
  </si>
  <si>
    <t>C. Garrafa</t>
  </si>
  <si>
    <t>Perfil DES-147 Anod (3446)</t>
  </si>
  <si>
    <t>Perfil DES-1934 Anod (3025)</t>
  </si>
  <si>
    <t xml:space="preserve">Perfil 3026 Inox Esc </t>
  </si>
  <si>
    <t>2004 Largo Anodizado (2004)</t>
  </si>
  <si>
    <t>Canelado Mini 4MM</t>
  </si>
  <si>
    <t>Perfil DES-1934 Preto (3025)</t>
  </si>
  <si>
    <t>Perfil DES-1934 Esc (3025)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</si>
</sst>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8" formatCode="&quot;R$&quot;\ #,##0.00;[Red]\-&quot;R$&quot;\ #,##0.00"/>
    <numFmt numFmtId="43" formatCode="_-* #,##0.00_-;\-* #,##0.00_-;_-* &quot;-&quot;??_-;_-@_-"/>
    <numFmt numFmtId="164" formatCode="&quot;R$&quot;#,##0.00;\-&quot;R$&quot;#,##0.00"/>
    <numFmt numFmtId="165" formatCode="_(* #,##0.000_);_(* \(#,##0.000\);_(* &quot;-&quot;??_);_(@_)"/>
    <numFmt numFmtId="166" formatCode="0.000"/>
    <numFmt numFmtId="167" formatCode="&quot;R$&quot;\ #,##0.00"/>
    <numFmt numFmtId="168" formatCode="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6"/>
      <name val="Arial"/>
      <family val="2"/>
    </font>
    <font>
      <sz val="20"/>
      <color theme="0"/>
      <name val="Arial"/>
      <family val="2"/>
    </font>
    <font>
      <sz val="26"/>
      <color theme="0"/>
      <name val="Arial"/>
      <family val="2"/>
    </font>
    <font>
      <sz val="11"/>
      <color theme="0"/>
      <name val="Calibri"/>
      <family val="2"/>
      <scheme val="minor"/>
    </font>
    <font>
      <sz val="10"/>
      <color theme="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9"/>
      <color rgb="FFFF000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i/>
      <u/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4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vertical="center"/>
    </xf>
    <xf numFmtId="43" fontId="2" fillId="2" borderId="0" xfId="1" applyFont="1" applyFill="1" applyBorder="1" applyAlignment="1" applyProtection="1">
      <alignment vertical="center"/>
    </xf>
    <xf numFmtId="0" fontId="4" fillId="2" borderId="0" xfId="0" applyFont="1" applyFill="1" applyAlignment="1">
      <alignment vertical="center"/>
    </xf>
    <xf numFmtId="2" fontId="4" fillId="2" borderId="0" xfId="0" applyNumberFormat="1" applyFont="1" applyFill="1" applyAlignment="1">
      <alignment vertical="center"/>
    </xf>
    <xf numFmtId="165" fontId="4" fillId="2" borderId="0" xfId="1" applyNumberFormat="1" applyFont="1" applyFill="1" applyBorder="1" applyAlignment="1" applyProtection="1">
      <alignment horizontal="center"/>
    </xf>
    <xf numFmtId="43" fontId="4" fillId="2" borderId="0" xfId="1" applyFont="1" applyFill="1" applyBorder="1" applyAlignment="1" applyProtection="1">
      <alignment vertical="center"/>
    </xf>
    <xf numFmtId="43" fontId="4" fillId="2" borderId="0" xfId="1" applyFont="1" applyFill="1" applyBorder="1" applyAlignment="1" applyProtection="1">
      <alignment horizontal="center" vertical="center"/>
    </xf>
    <xf numFmtId="43" fontId="2" fillId="2" borderId="0" xfId="1" applyFont="1" applyFill="1" applyBorder="1" applyProtection="1"/>
    <xf numFmtId="2" fontId="2" fillId="2" borderId="0" xfId="0" applyNumberFormat="1" applyFont="1" applyFill="1" applyAlignment="1">
      <alignment vertical="center"/>
    </xf>
    <xf numFmtId="2" fontId="2" fillId="2" borderId="0" xfId="0" applyNumberFormat="1" applyFont="1" applyFill="1"/>
    <xf numFmtId="2" fontId="4" fillId="2" borderId="8" xfId="0" applyNumberFormat="1" applyFont="1" applyFill="1" applyBorder="1" applyAlignment="1">
      <alignment horizontal="center" vertical="center" shrinkToFit="1"/>
    </xf>
    <xf numFmtId="165" fontId="4" fillId="2" borderId="0" xfId="1" applyNumberFormat="1" applyFont="1" applyFill="1" applyBorder="1" applyAlignment="1" applyProtection="1">
      <alignment horizontal="center" shrinkToFit="1"/>
    </xf>
    <xf numFmtId="0" fontId="4" fillId="5" borderId="0" xfId="0" applyFont="1" applyFill="1" applyAlignment="1">
      <alignment vertical="center"/>
    </xf>
    <xf numFmtId="0" fontId="2" fillId="5" borderId="0" xfId="0" applyFont="1" applyFill="1"/>
    <xf numFmtId="43" fontId="4" fillId="5" borderId="0" xfId="1" applyFont="1" applyFill="1" applyBorder="1" applyAlignment="1" applyProtection="1">
      <alignment vertical="center"/>
    </xf>
    <xf numFmtId="0" fontId="2" fillId="6" borderId="0" xfId="0" applyFont="1" applyFill="1"/>
    <xf numFmtId="165" fontId="2" fillId="5" borderId="0" xfId="1" applyNumberFormat="1" applyFont="1" applyFill="1" applyBorder="1" applyAlignment="1" applyProtection="1">
      <alignment horizontal="center"/>
    </xf>
    <xf numFmtId="43" fontId="2" fillId="5" borderId="0" xfId="1" applyFont="1" applyFill="1" applyBorder="1" applyAlignment="1" applyProtection="1">
      <alignment vertical="center"/>
    </xf>
    <xf numFmtId="43" fontId="2" fillId="5" borderId="0" xfId="1" applyFont="1" applyFill="1" applyBorder="1" applyProtection="1"/>
    <xf numFmtId="0" fontId="2" fillId="5" borderId="0" xfId="0" applyFont="1" applyFill="1" applyAlignment="1">
      <alignment vertical="center"/>
    </xf>
    <xf numFmtId="165" fontId="2" fillId="2" borderId="0" xfId="1" applyNumberFormat="1" applyFont="1" applyFill="1" applyBorder="1" applyAlignment="1" applyProtection="1">
      <alignment horizontal="center"/>
    </xf>
    <xf numFmtId="0" fontId="2" fillId="0" borderId="0" xfId="0" applyFont="1"/>
    <xf numFmtId="2" fontId="2" fillId="5" borderId="0" xfId="0" applyNumberFormat="1" applyFont="1" applyFill="1"/>
    <xf numFmtId="0" fontId="4" fillId="2" borderId="8" xfId="1" applyNumberFormat="1" applyFont="1" applyFill="1" applyBorder="1" applyAlignment="1" applyProtection="1">
      <alignment horizontal="center" vertical="center"/>
      <protection locked="0"/>
    </xf>
    <xf numFmtId="2" fontId="4" fillId="2" borderId="23" xfId="0" applyNumberFormat="1" applyFont="1" applyFill="1" applyBorder="1" applyAlignment="1">
      <alignment horizontal="center" vertical="center" shrinkToFit="1"/>
    </xf>
    <xf numFmtId="0" fontId="4" fillId="2" borderId="23" xfId="1" applyNumberFormat="1" applyFont="1" applyFill="1" applyBorder="1" applyAlignment="1" applyProtection="1">
      <alignment horizontal="center" vertical="center"/>
      <protection locked="0"/>
    </xf>
    <xf numFmtId="0" fontId="0" fillId="0" borderId="8" xfId="0" applyBorder="1"/>
    <xf numFmtId="167" fontId="0" fillId="4" borderId="8" xfId="0" applyNumberFormat="1" applyFill="1" applyBorder="1" applyAlignment="1">
      <alignment horizontal="center"/>
    </xf>
    <xf numFmtId="0" fontId="0" fillId="4" borderId="8" xfId="0" applyFill="1" applyBorder="1"/>
    <xf numFmtId="0" fontId="10" fillId="2" borderId="0" xfId="0" applyFont="1" applyFill="1"/>
    <xf numFmtId="0" fontId="10" fillId="2" borderId="0" xfId="0" applyFont="1" applyFill="1" applyAlignment="1">
      <alignment vertical="center"/>
    </xf>
    <xf numFmtId="0" fontId="9" fillId="0" borderId="0" xfId="0" applyFont="1"/>
    <xf numFmtId="0" fontId="10" fillId="2" borderId="0" xfId="0" applyFont="1" applyFill="1" applyAlignment="1">
      <alignment vertical="center" wrapText="1"/>
    </xf>
    <xf numFmtId="167" fontId="4" fillId="2" borderId="8" xfId="1" applyNumberFormat="1" applyFont="1" applyFill="1" applyBorder="1" applyAlignment="1" applyProtection="1">
      <alignment horizontal="center" vertical="center"/>
    </xf>
    <xf numFmtId="1" fontId="4" fillId="2" borderId="8" xfId="1" applyNumberFormat="1" applyFont="1" applyFill="1" applyBorder="1" applyAlignment="1" applyProtection="1">
      <alignment horizontal="center" vertical="center"/>
    </xf>
    <xf numFmtId="0" fontId="4" fillId="2" borderId="5" xfId="1" applyNumberFormat="1" applyFont="1" applyFill="1" applyBorder="1" applyAlignment="1" applyProtection="1">
      <alignment horizontal="center" vertical="center"/>
      <protection locked="0"/>
    </xf>
    <xf numFmtId="167" fontId="4" fillId="2" borderId="5" xfId="1" applyNumberFormat="1" applyFont="1" applyFill="1" applyBorder="1" applyAlignment="1" applyProtection="1">
      <alignment horizontal="center" vertical="center"/>
    </xf>
    <xf numFmtId="167" fontId="4" fillId="2" borderId="8" xfId="0" applyNumberFormat="1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43" fontId="4" fillId="4" borderId="18" xfId="1" applyFont="1" applyFill="1" applyBorder="1" applyAlignment="1" applyProtection="1">
      <alignment horizontal="center" vertical="center"/>
    </xf>
    <xf numFmtId="1" fontId="4" fillId="2" borderId="5" xfId="1" applyNumberFormat="1" applyFont="1" applyFill="1" applyBorder="1" applyAlignment="1" applyProtection="1">
      <alignment horizontal="center" vertical="center"/>
    </xf>
    <xf numFmtId="167" fontId="4" fillId="2" borderId="23" xfId="1" applyNumberFormat="1" applyFont="1" applyFill="1" applyBorder="1" applyAlignment="1" applyProtection="1">
      <alignment horizontal="center" vertical="center"/>
    </xf>
    <xf numFmtId="167" fontId="4" fillId="2" borderId="23" xfId="0" applyNumberFormat="1" applyFont="1" applyFill="1" applyBorder="1" applyAlignment="1">
      <alignment horizontal="center" vertical="center"/>
    </xf>
    <xf numFmtId="43" fontId="12" fillId="2" borderId="0" xfId="1" applyFont="1" applyFill="1" applyBorder="1" applyProtection="1"/>
    <xf numFmtId="43" fontId="12" fillId="2" borderId="0" xfId="1" applyFont="1" applyFill="1" applyBorder="1" applyAlignment="1" applyProtection="1">
      <alignment vertical="center"/>
    </xf>
    <xf numFmtId="43" fontId="13" fillId="2" borderId="0" xfId="1" applyFont="1" applyFill="1" applyBorder="1" applyAlignment="1" applyProtection="1">
      <alignment vertical="center"/>
    </xf>
    <xf numFmtId="43" fontId="12" fillId="5" borderId="0" xfId="1" applyFont="1" applyFill="1" applyBorder="1" applyProtection="1"/>
    <xf numFmtId="1" fontId="4" fillId="2" borderId="7" xfId="0" applyNumberFormat="1" applyFont="1" applyFill="1" applyBorder="1" applyAlignment="1" applyProtection="1">
      <alignment horizontal="center" vertical="center"/>
      <protection locked="0"/>
    </xf>
    <xf numFmtId="1" fontId="4" fillId="2" borderId="22" xfId="0" applyNumberFormat="1" applyFont="1" applyFill="1" applyBorder="1" applyAlignment="1" applyProtection="1">
      <alignment horizontal="center" vertical="center"/>
      <protection locked="0"/>
    </xf>
    <xf numFmtId="2" fontId="4" fillId="2" borderId="7" xfId="0" applyNumberFormat="1" applyFont="1" applyFill="1" applyBorder="1" applyAlignment="1">
      <alignment horizontal="left" vertical="center"/>
    </xf>
    <xf numFmtId="2" fontId="4" fillId="2" borderId="22" xfId="0" applyNumberFormat="1" applyFont="1" applyFill="1" applyBorder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5" fillId="0" borderId="0" xfId="0" applyFont="1"/>
    <xf numFmtId="0" fontId="14" fillId="0" borderId="0" xfId="0" applyFont="1"/>
    <xf numFmtId="167" fontId="4" fillId="2" borderId="8" xfId="1" applyNumberFormat="1" applyFont="1" applyFill="1" applyBorder="1" applyAlignment="1" applyProtection="1">
      <alignment horizontal="left" vertical="center"/>
    </xf>
    <xf numFmtId="167" fontId="4" fillId="2" borderId="23" xfId="1" applyNumberFormat="1" applyFont="1" applyFill="1" applyBorder="1" applyAlignment="1" applyProtection="1">
      <alignment horizontal="left" vertical="center"/>
    </xf>
    <xf numFmtId="167" fontId="4" fillId="2" borderId="5" xfId="1" applyNumberFormat="1" applyFont="1" applyFill="1" applyBorder="1" applyAlignment="1" applyProtection="1">
      <alignment horizontal="left" vertical="center"/>
    </xf>
    <xf numFmtId="0" fontId="0" fillId="0" borderId="0" xfId="0" applyAlignment="1">
      <alignment horizontal="center"/>
    </xf>
    <xf numFmtId="43" fontId="11" fillId="4" borderId="11" xfId="1" applyFont="1" applyFill="1" applyBorder="1" applyAlignment="1" applyProtection="1">
      <alignment horizontal="center"/>
    </xf>
    <xf numFmtId="168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167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9" fontId="0" fillId="7" borderId="35" xfId="0" applyNumberFormat="1" applyFill="1" applyBorder="1" applyAlignment="1">
      <alignment horizontal="left"/>
    </xf>
    <xf numFmtId="167" fontId="0" fillId="7" borderId="35" xfId="0" applyNumberFormat="1" applyFill="1" applyBorder="1" applyAlignment="1">
      <alignment horizontal="left"/>
    </xf>
    <xf numFmtId="49" fontId="0" fillId="0" borderId="35" xfId="0" applyNumberFormat="1" applyBorder="1" applyAlignment="1">
      <alignment horizontal="left"/>
    </xf>
    <xf numFmtId="167" fontId="0" fillId="0" borderId="35" xfId="0" applyNumberFormat="1" applyBorder="1" applyAlignment="1">
      <alignment horizontal="left"/>
    </xf>
    <xf numFmtId="168" fontId="0" fillId="7" borderId="35" xfId="0" applyNumberFormat="1" applyFill="1" applyBorder="1" applyAlignment="1">
      <alignment horizontal="left"/>
    </xf>
    <xf numFmtId="168" fontId="0" fillId="0" borderId="35" xfId="0" applyNumberFormat="1" applyBorder="1" applyAlignment="1">
      <alignment horizontal="left"/>
    </xf>
    <xf numFmtId="168" fontId="14" fillId="8" borderId="36" xfId="0" applyNumberFormat="1" applyFont="1" applyFill="1" applyBorder="1" applyAlignment="1">
      <alignment horizontal="left"/>
    </xf>
    <xf numFmtId="49" fontId="14" fillId="8" borderId="36" xfId="0" applyNumberFormat="1" applyFont="1" applyFill="1" applyBorder="1" applyAlignment="1">
      <alignment horizontal="left"/>
    </xf>
    <xf numFmtId="167" fontId="14" fillId="8" borderId="36" xfId="0" applyNumberFormat="1" applyFont="1" applyFill="1" applyBorder="1" applyAlignment="1">
      <alignment horizontal="left"/>
    </xf>
    <xf numFmtId="168" fontId="0" fillId="0" borderId="37" xfId="0" applyNumberFormat="1" applyBorder="1" applyAlignment="1">
      <alignment horizontal="left"/>
    </xf>
    <xf numFmtId="49" fontId="0" fillId="0" borderId="37" xfId="0" applyNumberFormat="1" applyBorder="1" applyAlignment="1">
      <alignment horizontal="left"/>
    </xf>
    <xf numFmtId="167" fontId="0" fillId="0" borderId="37" xfId="0" applyNumberFormat="1" applyBorder="1" applyAlignment="1">
      <alignment horizontal="left"/>
    </xf>
    <xf numFmtId="168" fontId="4" fillId="2" borderId="7" xfId="1" applyNumberFormat="1" applyFont="1" applyFill="1" applyBorder="1" applyAlignment="1" applyProtection="1">
      <alignment horizontal="left" vertical="center"/>
    </xf>
    <xf numFmtId="168" fontId="4" fillId="2" borderId="22" xfId="1" applyNumberFormat="1" applyFont="1" applyFill="1" applyBorder="1" applyAlignment="1" applyProtection="1">
      <alignment horizontal="left" vertical="center"/>
    </xf>
    <xf numFmtId="168" fontId="4" fillId="2" borderId="5" xfId="1" applyNumberFormat="1" applyFont="1" applyFill="1" applyBorder="1" applyAlignment="1" applyProtection="1">
      <alignment horizontal="center" vertical="center"/>
    </xf>
    <xf numFmtId="168" fontId="4" fillId="2" borderId="8" xfId="1" applyNumberFormat="1" applyFont="1" applyFill="1" applyBorder="1" applyAlignment="1" applyProtection="1">
      <alignment horizontal="center" vertical="center"/>
    </xf>
    <xf numFmtId="168" fontId="4" fillId="2" borderId="8" xfId="1" applyNumberFormat="1" applyFont="1" applyFill="1" applyBorder="1" applyAlignment="1" applyProtection="1">
      <alignment horizontal="left" vertical="center"/>
    </xf>
    <xf numFmtId="168" fontId="4" fillId="2" borderId="23" xfId="1" applyNumberFormat="1" applyFont="1" applyFill="1" applyBorder="1" applyAlignment="1" applyProtection="1">
      <alignment horizontal="left" vertical="center"/>
    </xf>
    <xf numFmtId="0" fontId="10" fillId="5" borderId="0" xfId="0" applyFont="1" applyFill="1"/>
    <xf numFmtId="168" fontId="4" fillId="2" borderId="8" xfId="0" applyNumberFormat="1" applyFont="1" applyFill="1" applyBorder="1" applyAlignment="1">
      <alignment horizontal="left" vertical="center"/>
    </xf>
    <xf numFmtId="168" fontId="4" fillId="2" borderId="23" xfId="0" applyNumberFormat="1" applyFont="1" applyFill="1" applyBorder="1" applyAlignment="1">
      <alignment horizontal="left" vertical="center"/>
    </xf>
    <xf numFmtId="43" fontId="5" fillId="4" borderId="29" xfId="1" applyFont="1" applyFill="1" applyBorder="1" applyAlignment="1" applyProtection="1">
      <alignment horizontal="center" vertical="center"/>
    </xf>
    <xf numFmtId="43" fontId="5" fillId="4" borderId="1" xfId="1" applyFont="1" applyFill="1" applyBorder="1" applyAlignment="1" applyProtection="1">
      <alignment horizontal="center" vertical="center"/>
    </xf>
    <xf numFmtId="43" fontId="5" fillId="4" borderId="31" xfId="1" applyFont="1" applyFill="1" applyBorder="1" applyAlignment="1" applyProtection="1">
      <alignment horizontal="center" vertical="center"/>
    </xf>
    <xf numFmtId="0" fontId="4" fillId="10" borderId="5" xfId="1" applyNumberFormat="1" applyFont="1" applyFill="1" applyBorder="1" applyAlignment="1" applyProtection="1">
      <alignment horizontal="center" vertical="center"/>
      <protection locked="0"/>
    </xf>
    <xf numFmtId="0" fontId="4" fillId="10" borderId="8" xfId="1" applyNumberFormat="1" applyFont="1" applyFill="1" applyBorder="1" applyAlignment="1" applyProtection="1">
      <alignment horizontal="center" vertical="center"/>
      <protection locked="0"/>
    </xf>
    <xf numFmtId="0" fontId="4" fillId="10" borderId="23" xfId="1" applyNumberFormat="1" applyFont="1" applyFill="1" applyBorder="1" applyAlignment="1" applyProtection="1">
      <alignment horizontal="center" vertical="center"/>
      <protection locked="0"/>
    </xf>
    <xf numFmtId="0" fontId="4" fillId="10" borderId="5" xfId="0" applyFont="1" applyFill="1" applyBorder="1" applyAlignment="1" applyProtection="1">
      <alignment horizontal="center" vertical="center"/>
      <protection locked="0"/>
    </xf>
    <xf numFmtId="0" fontId="4" fillId="10" borderId="8" xfId="0" applyFont="1" applyFill="1" applyBorder="1" applyAlignment="1" applyProtection="1">
      <alignment horizontal="center" vertical="center"/>
      <protection locked="0"/>
    </xf>
    <xf numFmtId="0" fontId="4" fillId="10" borderId="23" xfId="0" applyFont="1" applyFill="1" applyBorder="1" applyAlignment="1" applyProtection="1">
      <alignment horizontal="center" vertical="center"/>
      <protection locked="0"/>
    </xf>
    <xf numFmtId="0" fontId="4" fillId="10" borderId="5" xfId="1" applyNumberFormat="1" applyFont="1" applyFill="1" applyBorder="1" applyAlignment="1" applyProtection="1">
      <alignment horizontal="left" vertical="center"/>
      <protection locked="0"/>
    </xf>
    <xf numFmtId="0" fontId="4" fillId="10" borderId="8" xfId="1" applyNumberFormat="1" applyFont="1" applyFill="1" applyBorder="1" applyAlignment="1" applyProtection="1">
      <alignment horizontal="left" vertical="center"/>
      <protection locked="0"/>
    </xf>
    <xf numFmtId="0" fontId="4" fillId="10" borderId="23" xfId="1" applyNumberFormat="1" applyFont="1" applyFill="1" applyBorder="1" applyAlignment="1" applyProtection="1">
      <alignment horizontal="left" vertical="center"/>
      <protection locked="0"/>
    </xf>
    <xf numFmtId="2" fontId="4" fillId="10" borderId="8" xfId="1" applyNumberFormat="1" applyFont="1" applyFill="1" applyBorder="1" applyAlignment="1" applyProtection="1">
      <alignment horizontal="left" vertical="center"/>
      <protection locked="0"/>
    </xf>
    <xf numFmtId="2" fontId="4" fillId="10" borderId="5" xfId="1" applyNumberFormat="1" applyFont="1" applyFill="1" applyBorder="1" applyAlignment="1" applyProtection="1">
      <alignment horizontal="left" vertical="center"/>
      <protection locked="0"/>
    </xf>
    <xf numFmtId="168" fontId="4" fillId="2" borderId="23" xfId="1" applyNumberFormat="1" applyFont="1" applyFill="1" applyBorder="1" applyAlignment="1" applyProtection="1">
      <alignment horizontal="center" vertical="center"/>
    </xf>
    <xf numFmtId="167" fontId="4" fillId="4" borderId="5" xfId="1" applyNumberFormat="1" applyFont="1" applyFill="1" applyBorder="1" applyAlignment="1" applyProtection="1">
      <alignment horizontal="center" vertical="center"/>
    </xf>
    <xf numFmtId="167" fontId="4" fillId="4" borderId="8" xfId="1" applyNumberFormat="1" applyFont="1" applyFill="1" applyBorder="1" applyAlignment="1" applyProtection="1">
      <alignment horizontal="center" vertical="center"/>
    </xf>
    <xf numFmtId="167" fontId="4" fillId="4" borderId="23" xfId="1" applyNumberFormat="1" applyFont="1" applyFill="1" applyBorder="1" applyAlignment="1" applyProtection="1">
      <alignment horizontal="center" vertical="center"/>
    </xf>
    <xf numFmtId="167" fontId="4" fillId="4" borderId="6" xfId="1" applyNumberFormat="1" applyFont="1" applyFill="1" applyBorder="1" applyAlignment="1" applyProtection="1">
      <alignment horizontal="center" vertical="center"/>
    </xf>
    <xf numFmtId="167" fontId="4" fillId="4" borderId="9" xfId="1" applyNumberFormat="1" applyFont="1" applyFill="1" applyBorder="1" applyAlignment="1" applyProtection="1">
      <alignment horizontal="center" vertical="center"/>
    </xf>
    <xf numFmtId="167" fontId="4" fillId="4" borderId="21" xfId="1" applyNumberFormat="1" applyFont="1" applyFill="1" applyBorder="1" applyAlignment="1" applyProtection="1">
      <alignment horizontal="center" vertical="center"/>
    </xf>
    <xf numFmtId="167" fontId="4" fillId="4" borderId="5" xfId="1" applyNumberFormat="1" applyFont="1" applyFill="1" applyBorder="1" applyAlignment="1" applyProtection="1">
      <alignment horizontal="left" vertical="center"/>
    </xf>
    <xf numFmtId="167" fontId="4" fillId="4" borderId="8" xfId="1" applyNumberFormat="1" applyFont="1" applyFill="1" applyBorder="1" applyAlignment="1" applyProtection="1">
      <alignment horizontal="left" vertical="center"/>
    </xf>
    <xf numFmtId="167" fontId="4" fillId="4" borderId="23" xfId="1" applyNumberFormat="1" applyFont="1" applyFill="1" applyBorder="1" applyAlignment="1" applyProtection="1">
      <alignment horizontal="left" vertical="center"/>
    </xf>
    <xf numFmtId="166" fontId="4" fillId="2" borderId="5" xfId="1" applyNumberFormat="1" applyFont="1" applyFill="1" applyBorder="1" applyAlignment="1" applyProtection="1">
      <alignment horizontal="center" vertical="center" shrinkToFit="1"/>
    </xf>
    <xf numFmtId="166" fontId="4" fillId="2" borderId="8" xfId="1" applyNumberFormat="1" applyFont="1" applyFill="1" applyBorder="1" applyAlignment="1" applyProtection="1">
      <alignment horizontal="center" vertical="center" shrinkToFit="1"/>
    </xf>
    <xf numFmtId="166" fontId="4" fillId="2" borderId="23" xfId="1" applyNumberFormat="1" applyFont="1" applyFill="1" applyBorder="1" applyAlignment="1" applyProtection="1">
      <alignment horizontal="center" vertical="center" shrinkToFit="1"/>
    </xf>
    <xf numFmtId="2" fontId="5" fillId="2" borderId="5" xfId="0" applyNumberFormat="1" applyFont="1" applyFill="1" applyBorder="1" applyAlignment="1">
      <alignment horizontal="center" vertical="center"/>
    </xf>
    <xf numFmtId="2" fontId="5" fillId="2" borderId="8" xfId="0" applyNumberFormat="1" applyFont="1" applyFill="1" applyBorder="1" applyAlignment="1">
      <alignment horizontal="center" vertical="center"/>
    </xf>
    <xf numFmtId="2" fontId="5" fillId="2" borderId="23" xfId="0" applyNumberFormat="1" applyFont="1" applyFill="1" applyBorder="1" applyAlignment="1">
      <alignment horizontal="center" vertical="center"/>
    </xf>
    <xf numFmtId="1" fontId="4" fillId="2" borderId="23" xfId="1" applyNumberFormat="1" applyFont="1" applyFill="1" applyBorder="1" applyAlignment="1" applyProtection="1">
      <alignment horizontal="center" vertical="center"/>
    </xf>
    <xf numFmtId="2" fontId="4" fillId="4" borderId="18" xfId="1" applyNumberFormat="1" applyFont="1" applyFill="1" applyBorder="1" applyAlignment="1" applyProtection="1">
      <alignment horizontal="left" vertical="center"/>
    </xf>
    <xf numFmtId="168" fontId="4" fillId="2" borderId="4" xfId="1" applyNumberFormat="1" applyFont="1" applyFill="1" applyBorder="1" applyAlignment="1" applyProtection="1">
      <alignment horizontal="left" vertical="center"/>
    </xf>
    <xf numFmtId="43" fontId="5" fillId="4" borderId="38" xfId="1" applyFont="1" applyFill="1" applyBorder="1" applyAlignment="1" applyProtection="1">
      <alignment horizontal="center" vertical="center"/>
    </xf>
    <xf numFmtId="167" fontId="4" fillId="4" borderId="39" xfId="1" applyNumberFormat="1" applyFont="1" applyFill="1" applyBorder="1" applyAlignment="1" applyProtection="1">
      <alignment horizontal="center" vertical="center"/>
    </xf>
    <xf numFmtId="167" fontId="4" fillId="4" borderId="27" xfId="1" applyNumberFormat="1" applyFont="1" applyFill="1" applyBorder="1" applyAlignment="1" applyProtection="1">
      <alignment horizontal="center" vertical="center"/>
    </xf>
    <xf numFmtId="167" fontId="4" fillId="4" borderId="34" xfId="1" applyNumberFormat="1" applyFont="1" applyFill="1" applyBorder="1" applyAlignment="1" applyProtection="1">
      <alignment horizontal="center" vertical="center"/>
    </xf>
    <xf numFmtId="43" fontId="2" fillId="2" borderId="8" xfId="1" applyFont="1" applyFill="1" applyBorder="1" applyProtection="1"/>
    <xf numFmtId="43" fontId="4" fillId="4" borderId="19" xfId="1" applyFont="1" applyFill="1" applyBorder="1" applyAlignment="1" applyProtection="1">
      <alignment horizontal="center" vertical="center"/>
    </xf>
    <xf numFmtId="168" fontId="4" fillId="2" borderId="16" xfId="1" applyNumberFormat="1" applyFont="1" applyFill="1" applyBorder="1" applyAlignment="1" applyProtection="1">
      <alignment horizontal="left" vertical="center"/>
    </xf>
    <xf numFmtId="167" fontId="4" fillId="2" borderId="5" xfId="0" applyNumberFormat="1" applyFont="1" applyFill="1" applyBorder="1" applyAlignment="1">
      <alignment horizontal="center" vertical="center"/>
    </xf>
    <xf numFmtId="43" fontId="5" fillId="4" borderId="19" xfId="1" applyFont="1" applyFill="1" applyBorder="1" applyAlignment="1" applyProtection="1">
      <alignment horizontal="center" vertical="center"/>
    </xf>
    <xf numFmtId="167" fontId="4" fillId="4" borderId="25" xfId="0" applyNumberFormat="1" applyFont="1" applyFill="1" applyBorder="1" applyAlignment="1">
      <alignment horizontal="center" vertical="center"/>
    </xf>
    <xf numFmtId="43" fontId="5" fillId="4" borderId="26" xfId="1" applyFont="1" applyFill="1" applyBorder="1" applyAlignment="1" applyProtection="1">
      <alignment horizontal="center" vertical="center" wrapText="1"/>
    </xf>
    <xf numFmtId="2" fontId="4" fillId="4" borderId="33" xfId="0" applyNumberFormat="1" applyFont="1" applyFill="1" applyBorder="1" applyAlignment="1">
      <alignment horizontal="center" vertical="center"/>
    </xf>
    <xf numFmtId="2" fontId="4" fillId="4" borderId="27" xfId="0" applyNumberFormat="1" applyFont="1" applyFill="1" applyBorder="1" applyAlignment="1">
      <alignment horizontal="center" vertical="center"/>
    </xf>
    <xf numFmtId="2" fontId="4" fillId="4" borderId="34" xfId="0" applyNumberFormat="1" applyFont="1" applyFill="1" applyBorder="1" applyAlignment="1">
      <alignment horizontal="center" vertical="center"/>
    </xf>
    <xf numFmtId="43" fontId="5" fillId="4" borderId="19" xfId="1" applyFont="1" applyFill="1" applyBorder="1" applyAlignment="1" applyProtection="1">
      <alignment horizontal="center" vertical="center" wrapText="1"/>
    </xf>
    <xf numFmtId="167" fontId="4" fillId="4" borderId="9" xfId="0" applyNumberFormat="1" applyFont="1" applyFill="1" applyBorder="1" applyAlignment="1">
      <alignment horizontal="center" vertical="center"/>
    </xf>
    <xf numFmtId="167" fontId="4" fillId="4" borderId="21" xfId="0" applyNumberFormat="1" applyFont="1" applyFill="1" applyBorder="1" applyAlignment="1">
      <alignment horizontal="center" vertical="center"/>
    </xf>
    <xf numFmtId="1" fontId="4" fillId="2" borderId="4" xfId="0" applyNumberFormat="1" applyFont="1" applyFill="1" applyBorder="1" applyAlignment="1" applyProtection="1">
      <alignment horizontal="center" vertical="center"/>
      <protection locked="0"/>
    </xf>
    <xf numFmtId="168" fontId="4" fillId="2" borderId="5" xfId="0" applyNumberFormat="1" applyFont="1" applyFill="1" applyBorder="1" applyAlignment="1">
      <alignment horizontal="left" vertical="center"/>
    </xf>
    <xf numFmtId="2" fontId="4" fillId="2" borderId="5" xfId="0" applyNumberFormat="1" applyFont="1" applyFill="1" applyBorder="1" applyAlignment="1">
      <alignment horizontal="center" vertical="center" shrinkToFit="1"/>
    </xf>
    <xf numFmtId="0" fontId="5" fillId="9" borderId="31" xfId="0" applyFont="1" applyFill="1" applyBorder="1" applyAlignment="1">
      <alignment horizontal="center" vertical="center"/>
    </xf>
    <xf numFmtId="2" fontId="5" fillId="9" borderId="31" xfId="0" applyNumberFormat="1" applyFont="1" applyFill="1" applyBorder="1" applyAlignment="1">
      <alignment horizontal="center" vertical="center"/>
    </xf>
    <xf numFmtId="165" fontId="5" fillId="9" borderId="31" xfId="1" applyNumberFormat="1" applyFont="1" applyFill="1" applyBorder="1" applyAlignment="1" applyProtection="1">
      <alignment horizontal="center"/>
    </xf>
    <xf numFmtId="0" fontId="11" fillId="9" borderId="31" xfId="0" applyFont="1" applyFill="1" applyBorder="1" applyAlignment="1">
      <alignment horizontal="center"/>
    </xf>
    <xf numFmtId="43" fontId="5" fillId="9" borderId="31" xfId="1" applyFont="1" applyFill="1" applyBorder="1" applyAlignment="1" applyProtection="1">
      <alignment horizontal="center" vertical="center"/>
    </xf>
    <xf numFmtId="0" fontId="5" fillId="9" borderId="17" xfId="0" applyFont="1" applyFill="1" applyBorder="1" applyAlignment="1">
      <alignment horizontal="center" vertical="center" wrapText="1"/>
    </xf>
    <xf numFmtId="0" fontId="5" fillId="9" borderId="18" xfId="0" applyFont="1" applyFill="1" applyBorder="1" applyAlignment="1">
      <alignment horizontal="center" vertical="center" wrapText="1"/>
    </xf>
    <xf numFmtId="2" fontId="5" fillId="9" borderId="18" xfId="0" applyNumberFormat="1" applyFont="1" applyFill="1" applyBorder="1" applyAlignment="1">
      <alignment horizontal="center" vertical="center" wrapText="1"/>
    </xf>
    <xf numFmtId="2" fontId="5" fillId="9" borderId="26" xfId="0" applyNumberFormat="1" applyFont="1" applyFill="1" applyBorder="1" applyAlignment="1">
      <alignment horizontal="center" vertical="center" wrapText="1"/>
    </xf>
    <xf numFmtId="165" fontId="5" fillId="9" borderId="18" xfId="1" applyNumberFormat="1" applyFont="1" applyFill="1" applyBorder="1" applyAlignment="1" applyProtection="1">
      <alignment horizontal="center" wrapText="1"/>
    </xf>
    <xf numFmtId="43" fontId="5" fillId="9" borderId="17" xfId="1" applyFont="1" applyFill="1" applyBorder="1" applyAlignment="1" applyProtection="1">
      <alignment horizontal="center" vertical="center" wrapText="1"/>
    </xf>
    <xf numFmtId="43" fontId="5" fillId="9" borderId="18" xfId="1" applyFont="1" applyFill="1" applyBorder="1" applyAlignment="1" applyProtection="1">
      <alignment horizontal="center" vertical="center" wrapText="1"/>
    </xf>
    <xf numFmtId="0" fontId="5" fillId="9" borderId="17" xfId="0" applyFont="1" applyFill="1" applyBorder="1" applyAlignment="1">
      <alignment horizontal="center" vertical="center"/>
    </xf>
    <xf numFmtId="0" fontId="5" fillId="9" borderId="18" xfId="0" applyFont="1" applyFill="1" applyBorder="1" applyAlignment="1">
      <alignment horizontal="center" vertical="center"/>
    </xf>
    <xf numFmtId="2" fontId="4" fillId="2" borderId="32" xfId="0" applyNumberFormat="1" applyFont="1" applyFill="1" applyBorder="1" applyAlignment="1">
      <alignment horizontal="center" vertical="center"/>
    </xf>
    <xf numFmtId="2" fontId="4" fillId="2" borderId="15" xfId="0" applyNumberFormat="1" applyFont="1" applyFill="1" applyBorder="1" applyAlignment="1">
      <alignment horizontal="center" vertical="center"/>
    </xf>
    <xf numFmtId="166" fontId="4" fillId="10" borderId="5" xfId="0" applyNumberFormat="1" applyFont="1" applyFill="1" applyBorder="1" applyAlignment="1" applyProtection="1">
      <alignment horizontal="center" vertical="center"/>
      <protection locked="0"/>
    </xf>
    <xf numFmtId="166" fontId="4" fillId="10" borderId="5" xfId="1" applyNumberFormat="1" applyFont="1" applyFill="1" applyBorder="1" applyAlignment="1" applyProtection="1">
      <alignment horizontal="center" vertical="center"/>
      <protection locked="0"/>
    </xf>
    <xf numFmtId="166" fontId="4" fillId="10" borderId="8" xfId="0" applyNumberFormat="1" applyFont="1" applyFill="1" applyBorder="1" applyAlignment="1" applyProtection="1">
      <alignment horizontal="center" vertical="center"/>
      <protection locked="0"/>
    </xf>
    <xf numFmtId="166" fontId="4" fillId="10" borderId="8" xfId="1" applyNumberFormat="1" applyFont="1" applyFill="1" applyBorder="1" applyAlignment="1" applyProtection="1">
      <alignment horizontal="center" vertical="center"/>
      <protection locked="0"/>
    </xf>
    <xf numFmtId="166" fontId="4" fillId="10" borderId="23" xfId="0" applyNumberFormat="1" applyFont="1" applyFill="1" applyBorder="1" applyAlignment="1" applyProtection="1">
      <alignment horizontal="center" vertical="center"/>
      <protection locked="0"/>
    </xf>
    <xf numFmtId="166" fontId="4" fillId="10" borderId="23" xfId="1" applyNumberFormat="1" applyFont="1" applyFill="1" applyBorder="1" applyAlignment="1" applyProtection="1">
      <alignment horizontal="center" vertical="center"/>
      <protection locked="0"/>
    </xf>
    <xf numFmtId="2" fontId="4" fillId="10" borderId="8" xfId="0" applyNumberFormat="1" applyFont="1" applyFill="1" applyBorder="1" applyAlignment="1" applyProtection="1">
      <alignment horizontal="center" vertical="center" shrinkToFit="1"/>
      <protection locked="0"/>
    </xf>
    <xf numFmtId="2" fontId="4" fillId="10" borderId="23" xfId="0" applyNumberFormat="1" applyFont="1" applyFill="1" applyBorder="1" applyAlignment="1" applyProtection="1">
      <alignment horizontal="center" vertical="center" shrinkToFit="1"/>
      <protection locked="0"/>
    </xf>
    <xf numFmtId="167" fontId="4" fillId="4" borderId="39" xfId="1" applyNumberFormat="1" applyFont="1" applyFill="1" applyBorder="1" applyAlignment="1" applyProtection="1">
      <alignment horizontal="center" vertical="center" shrinkToFit="1"/>
    </xf>
    <xf numFmtId="167" fontId="4" fillId="4" borderId="27" xfId="1" applyNumberFormat="1" applyFont="1" applyFill="1" applyBorder="1" applyAlignment="1" applyProtection="1">
      <alignment horizontal="center" vertical="center" shrinkToFit="1"/>
    </xf>
    <xf numFmtId="167" fontId="4" fillId="4" borderId="34" xfId="1" applyNumberFormat="1" applyFont="1" applyFill="1" applyBorder="1" applyAlignment="1" applyProtection="1">
      <alignment horizontal="center" vertical="center" shrinkToFit="1"/>
    </xf>
    <xf numFmtId="0" fontId="11" fillId="9" borderId="2" xfId="0" applyFont="1" applyFill="1" applyBorder="1" applyAlignment="1">
      <alignment horizontal="center"/>
    </xf>
    <xf numFmtId="1" fontId="4" fillId="2" borderId="40" xfId="1" applyNumberFormat="1" applyFont="1" applyFill="1" applyBorder="1" applyAlignment="1" applyProtection="1">
      <alignment horizontal="center" vertical="center"/>
    </xf>
    <xf numFmtId="1" fontId="4" fillId="2" borderId="41" xfId="1" applyNumberFormat="1" applyFont="1" applyFill="1" applyBorder="1" applyAlignment="1" applyProtection="1">
      <alignment horizontal="center" vertical="center"/>
    </xf>
    <xf numFmtId="1" fontId="4" fillId="2" borderId="42" xfId="1" applyNumberFormat="1" applyFont="1" applyFill="1" applyBorder="1" applyAlignment="1" applyProtection="1">
      <alignment horizontal="center" vertical="center"/>
    </xf>
    <xf numFmtId="43" fontId="11" fillId="9" borderId="8" xfId="1" applyFont="1" applyFill="1" applyBorder="1" applyAlignment="1" applyProtection="1">
      <alignment horizontal="center"/>
    </xf>
    <xf numFmtId="2" fontId="2" fillId="2" borderId="8" xfId="1" applyNumberFormat="1" applyFont="1" applyFill="1" applyBorder="1" applyAlignment="1" applyProtection="1">
      <alignment horizontal="center"/>
    </xf>
    <xf numFmtId="2" fontId="4" fillId="10" borderId="16" xfId="0" applyNumberFormat="1" applyFont="1" applyFill="1" applyBorder="1" applyAlignment="1" applyProtection="1">
      <alignment horizontal="center" vertical="center"/>
      <protection locked="0"/>
    </xf>
    <xf numFmtId="2" fontId="4" fillId="10" borderId="33" xfId="0" applyNumberFormat="1" applyFont="1" applyFill="1" applyBorder="1" applyAlignment="1" applyProtection="1">
      <alignment horizontal="center" vertical="center"/>
      <protection locked="0"/>
    </xf>
    <xf numFmtId="2" fontId="4" fillId="10" borderId="8" xfId="0" applyNumberFormat="1" applyFont="1" applyFill="1" applyBorder="1" applyAlignment="1" applyProtection="1">
      <alignment horizontal="center" vertical="center"/>
      <protection locked="0"/>
    </xf>
    <xf numFmtId="2" fontId="4" fillId="10" borderId="27" xfId="0" applyNumberFormat="1" applyFont="1" applyFill="1" applyBorder="1" applyAlignment="1" applyProtection="1">
      <alignment horizontal="center" vertical="center"/>
      <protection locked="0"/>
    </xf>
    <xf numFmtId="2" fontId="4" fillId="10" borderId="23" xfId="0" applyNumberFormat="1" applyFont="1" applyFill="1" applyBorder="1" applyAlignment="1" applyProtection="1">
      <alignment horizontal="center" vertical="center"/>
      <protection locked="0"/>
    </xf>
    <xf numFmtId="2" fontId="4" fillId="10" borderId="34" xfId="0" applyNumberFormat="1" applyFont="1" applyFill="1" applyBorder="1" applyAlignment="1" applyProtection="1">
      <alignment horizontal="center" vertical="center"/>
      <protection locked="0"/>
    </xf>
    <xf numFmtId="2" fontId="4" fillId="10" borderId="5" xfId="1" applyNumberFormat="1" applyFont="1" applyFill="1" applyBorder="1" applyAlignment="1" applyProtection="1">
      <alignment horizontal="center" vertical="center"/>
      <protection locked="0"/>
    </xf>
    <xf numFmtId="2" fontId="4" fillId="10" borderId="8" xfId="1" applyNumberFormat="1" applyFont="1" applyFill="1" applyBorder="1" applyAlignment="1" applyProtection="1">
      <alignment horizontal="center" vertical="center"/>
      <protection locked="0"/>
    </xf>
    <xf numFmtId="2" fontId="4" fillId="10" borderId="23" xfId="1" applyNumberFormat="1" applyFont="1" applyFill="1" applyBorder="1" applyAlignment="1" applyProtection="1">
      <alignment horizontal="center" vertical="center"/>
      <protection locked="0"/>
    </xf>
    <xf numFmtId="2" fontId="4" fillId="10" borderId="23" xfId="1" applyNumberFormat="1" applyFont="1" applyFill="1" applyBorder="1" applyAlignment="1" applyProtection="1">
      <alignment horizontal="left" vertical="center"/>
      <protection locked="0"/>
    </xf>
    <xf numFmtId="0" fontId="5" fillId="9" borderId="28" xfId="0" applyFont="1" applyFill="1" applyBorder="1" applyAlignment="1">
      <alignment horizontal="center" vertical="center"/>
    </xf>
    <xf numFmtId="0" fontId="5" fillId="9" borderId="29" xfId="0" applyFont="1" applyFill="1" applyBorder="1" applyAlignment="1">
      <alignment horizontal="center" vertical="center"/>
    </xf>
    <xf numFmtId="2" fontId="5" fillId="9" borderId="29" xfId="0" applyNumberFormat="1" applyFont="1" applyFill="1" applyBorder="1" applyAlignment="1">
      <alignment horizontal="center" vertical="center"/>
    </xf>
    <xf numFmtId="165" fontId="5" fillId="9" borderId="29" xfId="1" applyNumberFormat="1" applyFont="1" applyFill="1" applyBorder="1" applyAlignment="1" applyProtection="1">
      <alignment horizontal="center"/>
    </xf>
    <xf numFmtId="43" fontId="5" fillId="9" borderId="29" xfId="1" applyFont="1" applyFill="1" applyBorder="1" applyAlignment="1" applyProtection="1">
      <alignment horizontal="center" vertical="center"/>
    </xf>
    <xf numFmtId="43" fontId="11" fillId="9" borderId="8" xfId="1" applyFont="1" applyFill="1" applyBorder="1" applyProtection="1"/>
    <xf numFmtId="0" fontId="4" fillId="9" borderId="18" xfId="0" applyFont="1" applyFill="1" applyBorder="1" applyAlignment="1">
      <alignment horizontal="center" vertical="center"/>
    </xf>
    <xf numFmtId="43" fontId="4" fillId="9" borderId="18" xfId="1" applyFont="1" applyFill="1" applyBorder="1" applyAlignment="1" applyProtection="1">
      <alignment horizontal="center" vertical="center"/>
    </xf>
    <xf numFmtId="0" fontId="2" fillId="9" borderId="18" xfId="0" applyFont="1" applyFill="1" applyBorder="1" applyAlignment="1">
      <alignment horizontal="center"/>
    </xf>
    <xf numFmtId="2" fontId="4" fillId="9" borderId="17" xfId="1" applyNumberFormat="1" applyFont="1" applyFill="1" applyBorder="1" applyAlignment="1" applyProtection="1">
      <alignment horizontal="left" vertical="center"/>
    </xf>
    <xf numFmtId="0" fontId="4" fillId="9" borderId="18" xfId="1" applyNumberFormat="1" applyFont="1" applyFill="1" applyBorder="1" applyAlignment="1" applyProtection="1">
      <alignment horizontal="center" vertical="center"/>
    </xf>
    <xf numFmtId="2" fontId="4" fillId="9" borderId="18" xfId="1" applyNumberFormat="1" applyFont="1" applyFill="1" applyBorder="1" applyAlignment="1" applyProtection="1">
      <alignment horizontal="center" vertical="center"/>
      <protection locked="0"/>
    </xf>
    <xf numFmtId="2" fontId="4" fillId="9" borderId="18" xfId="1" applyNumberFormat="1" applyFont="1" applyFill="1" applyBorder="1" applyAlignment="1" applyProtection="1">
      <alignment horizontal="center" vertical="center"/>
    </xf>
    <xf numFmtId="0" fontId="4" fillId="9" borderId="29" xfId="1" applyNumberFormat="1" applyFont="1" applyFill="1" applyBorder="1" applyAlignment="1" applyProtection="1">
      <alignment horizontal="center" vertical="center"/>
    </xf>
    <xf numFmtId="43" fontId="2" fillId="2" borderId="23" xfId="1" applyFont="1" applyFill="1" applyBorder="1" applyProtection="1"/>
    <xf numFmtId="2" fontId="4" fillId="2" borderId="43" xfId="0" applyNumberFormat="1" applyFont="1" applyFill="1" applyBorder="1" applyAlignment="1">
      <alignment horizontal="center" vertical="center"/>
    </xf>
    <xf numFmtId="43" fontId="5" fillId="9" borderId="44" xfId="1" applyFont="1" applyFill="1" applyBorder="1" applyAlignment="1" applyProtection="1">
      <alignment horizontal="center" vertical="center"/>
    </xf>
    <xf numFmtId="43" fontId="5" fillId="9" borderId="45" xfId="1" applyFont="1" applyFill="1" applyBorder="1" applyAlignment="1" applyProtection="1">
      <alignment horizontal="center" vertical="center"/>
    </xf>
    <xf numFmtId="43" fontId="5" fillId="4" borderId="46" xfId="1" applyFont="1" applyFill="1" applyBorder="1" applyAlignment="1" applyProtection="1">
      <alignment horizontal="center" vertical="center"/>
    </xf>
    <xf numFmtId="43" fontId="5" fillId="9" borderId="13" xfId="1" applyFont="1" applyFill="1" applyBorder="1" applyAlignment="1" applyProtection="1">
      <alignment horizontal="center" vertical="center"/>
    </xf>
    <xf numFmtId="0" fontId="11" fillId="9" borderId="44" xfId="0" applyFont="1" applyFill="1" applyBorder="1" applyAlignment="1">
      <alignment horizontal="center"/>
    </xf>
    <xf numFmtId="0" fontId="11" fillId="9" borderId="45" xfId="0" applyFont="1" applyFill="1" applyBorder="1" applyAlignment="1">
      <alignment horizontal="center"/>
    </xf>
    <xf numFmtId="43" fontId="5" fillId="4" borderId="47" xfId="1" applyFont="1" applyFill="1" applyBorder="1" applyAlignment="1" applyProtection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vertical="center"/>
    </xf>
    <xf numFmtId="2" fontId="4" fillId="2" borderId="3" xfId="0" applyNumberFormat="1" applyFont="1" applyFill="1" applyBorder="1" applyAlignment="1">
      <alignment vertical="center"/>
    </xf>
    <xf numFmtId="165" fontId="4" fillId="2" borderId="3" xfId="1" applyNumberFormat="1" applyFont="1" applyFill="1" applyBorder="1" applyAlignment="1" applyProtection="1">
      <alignment horizontal="center"/>
    </xf>
    <xf numFmtId="165" fontId="4" fillId="2" borderId="3" xfId="1" applyNumberFormat="1" applyFont="1" applyFill="1" applyBorder="1" applyAlignment="1" applyProtection="1">
      <alignment horizontal="center" shrinkToFit="1"/>
    </xf>
    <xf numFmtId="43" fontId="4" fillId="2" borderId="3" xfId="1" applyFont="1" applyFill="1" applyBorder="1" applyAlignment="1" applyProtection="1">
      <alignment vertical="center"/>
    </xf>
    <xf numFmtId="166" fontId="4" fillId="2" borderId="16" xfId="1" applyNumberFormat="1" applyFont="1" applyFill="1" applyBorder="1" applyAlignment="1" applyProtection="1">
      <alignment horizontal="center" vertical="center" shrinkToFit="1"/>
    </xf>
    <xf numFmtId="2" fontId="4" fillId="2" borderId="24" xfId="0" applyNumberFormat="1" applyFont="1" applyFill="1" applyBorder="1" applyAlignment="1" applyProtection="1">
      <alignment horizontal="center" vertical="center"/>
    </xf>
    <xf numFmtId="2" fontId="4" fillId="2" borderId="7" xfId="0" applyNumberFormat="1" applyFont="1" applyFill="1" applyBorder="1" applyAlignment="1" applyProtection="1">
      <alignment horizontal="center" vertical="center"/>
    </xf>
    <xf numFmtId="2" fontId="4" fillId="2" borderId="22" xfId="0" applyNumberFormat="1" applyFont="1" applyFill="1" applyBorder="1" applyAlignment="1" applyProtection="1">
      <alignment horizontal="center" vertical="center"/>
    </xf>
    <xf numFmtId="43" fontId="5" fillId="9" borderId="48" xfId="1" applyFont="1" applyFill="1" applyBorder="1" applyAlignment="1" applyProtection="1">
      <alignment horizontal="center" vertical="center"/>
    </xf>
    <xf numFmtId="43" fontId="5" fillId="9" borderId="8" xfId="1" applyFont="1" applyFill="1" applyBorder="1" applyAlignment="1" applyProtection="1">
      <alignment horizontal="center" vertical="center"/>
      <protection hidden="1"/>
    </xf>
    <xf numFmtId="167" fontId="4" fillId="9" borderId="16" xfId="1" applyNumberFormat="1" applyFont="1" applyFill="1" applyBorder="1" applyAlignment="1" applyProtection="1">
      <alignment horizontal="center" vertical="center"/>
      <protection hidden="1"/>
    </xf>
    <xf numFmtId="167" fontId="4" fillId="9" borderId="8" xfId="1" applyNumberFormat="1" applyFont="1" applyFill="1" applyBorder="1" applyAlignment="1" applyProtection="1">
      <alignment horizontal="center" vertical="center"/>
      <protection hidden="1"/>
    </xf>
    <xf numFmtId="167" fontId="4" fillId="9" borderId="23" xfId="1" applyNumberFormat="1" applyFont="1" applyFill="1" applyBorder="1" applyAlignment="1" applyProtection="1">
      <alignment horizontal="center" vertical="center"/>
      <protection hidden="1"/>
    </xf>
    <xf numFmtId="2" fontId="4" fillId="2" borderId="8" xfId="1" applyNumberFormat="1" applyFont="1" applyFill="1" applyBorder="1" applyAlignment="1" applyProtection="1">
      <alignment horizontal="center" vertical="center"/>
    </xf>
    <xf numFmtId="2" fontId="4" fillId="2" borderId="5" xfId="1" applyNumberFormat="1" applyFont="1" applyFill="1" applyBorder="1" applyAlignment="1" applyProtection="1">
      <alignment horizontal="center" vertical="center"/>
    </xf>
    <xf numFmtId="2" fontId="4" fillId="2" borderId="23" xfId="1" applyNumberFormat="1" applyFont="1" applyFill="1" applyBorder="1" applyAlignment="1" applyProtection="1">
      <alignment horizontal="center" vertical="center"/>
    </xf>
    <xf numFmtId="49" fontId="0" fillId="7" borderId="35" xfId="0" applyNumberFormat="1" applyFont="1" applyFill="1" applyBorder="1" applyAlignment="1">
      <alignment horizontal="left"/>
    </xf>
    <xf numFmtId="0" fontId="0" fillId="0" borderId="0" xfId="0" applyBorder="1"/>
    <xf numFmtId="49" fontId="0" fillId="7" borderId="37" xfId="0" applyNumberFormat="1" applyFill="1" applyBorder="1" applyAlignment="1">
      <alignment horizontal="left"/>
    </xf>
    <xf numFmtId="9" fontId="0" fillId="0" borderId="0" xfId="0" applyNumberFormat="1" applyBorder="1"/>
    <xf numFmtId="9" fontId="0" fillId="0" borderId="0" xfId="0" applyNumberFormat="1"/>
    <xf numFmtId="9" fontId="0" fillId="7" borderId="49" xfId="0" applyNumberFormat="1" applyFont="1" applyFill="1" applyBorder="1"/>
    <xf numFmtId="8" fontId="0" fillId="0" borderId="49" xfId="0" applyNumberFormat="1" applyFont="1" applyBorder="1"/>
    <xf numFmtId="8" fontId="0" fillId="7" borderId="49" xfId="0" applyNumberFormat="1" applyFont="1" applyFill="1" applyBorder="1"/>
    <xf numFmtId="0" fontId="3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64" fontId="8" fillId="3" borderId="14" xfId="1" applyNumberFormat="1" applyFont="1" applyFill="1" applyBorder="1" applyAlignment="1" applyProtection="1">
      <alignment horizontal="center" vertical="center"/>
    </xf>
    <xf numFmtId="164" fontId="8" fillId="3" borderId="20" xfId="1" applyNumberFormat="1" applyFont="1" applyFill="1" applyBorder="1" applyAlignment="1" applyProtection="1">
      <alignment horizontal="center" vertical="center"/>
    </xf>
    <xf numFmtId="164" fontId="8" fillId="3" borderId="0" xfId="1" applyNumberFormat="1" applyFont="1" applyFill="1" applyBorder="1" applyAlignment="1" applyProtection="1">
      <alignment horizontal="center" vertical="center"/>
    </xf>
    <xf numFmtId="164" fontId="8" fillId="3" borderId="10" xfId="1" applyNumberFormat="1" applyFont="1" applyFill="1" applyBorder="1" applyAlignment="1" applyProtection="1">
      <alignment horizontal="center" vertical="center"/>
    </xf>
    <xf numFmtId="164" fontId="8" fillId="3" borderId="13" xfId="1" applyNumberFormat="1" applyFont="1" applyFill="1" applyBorder="1" applyAlignment="1" applyProtection="1">
      <alignment horizontal="center" vertical="center"/>
    </xf>
    <xf numFmtId="164" fontId="8" fillId="3" borderId="12" xfId="1" applyNumberFormat="1" applyFont="1" applyFill="1" applyBorder="1" applyAlignment="1" applyProtection="1">
      <alignment horizontal="center" vertical="center"/>
    </xf>
    <xf numFmtId="43" fontId="6" fillId="4" borderId="14" xfId="1" applyFont="1" applyFill="1" applyBorder="1" applyAlignment="1" applyProtection="1">
      <alignment horizontal="center" vertical="center"/>
    </xf>
    <xf numFmtId="43" fontId="6" fillId="4" borderId="20" xfId="1" applyFont="1" applyFill="1" applyBorder="1" applyAlignment="1" applyProtection="1">
      <alignment horizontal="center" vertical="center"/>
    </xf>
    <xf numFmtId="43" fontId="6" fillId="4" borderId="13" xfId="1" applyFont="1" applyFill="1" applyBorder="1" applyAlignment="1" applyProtection="1">
      <alignment horizontal="center" vertical="center"/>
    </xf>
    <xf numFmtId="43" fontId="6" fillId="4" borderId="12" xfId="1" applyFont="1" applyFill="1" applyBorder="1" applyAlignment="1" applyProtection="1">
      <alignment horizontal="center" vertical="center"/>
    </xf>
    <xf numFmtId="43" fontId="5" fillId="4" borderId="18" xfId="1" applyFont="1" applyFill="1" applyBorder="1" applyAlignment="1" applyProtection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29" xfId="0" applyFont="1" applyFill="1" applyBorder="1" applyAlignment="1">
      <alignment horizontal="center" vertical="center"/>
    </xf>
    <xf numFmtId="0" fontId="5" fillId="4" borderId="30" xfId="0" applyFont="1" applyFill="1" applyBorder="1" applyAlignment="1">
      <alignment vertical="center"/>
    </xf>
    <xf numFmtId="0" fontId="5" fillId="4" borderId="30" xfId="0" applyFont="1" applyFill="1" applyBorder="1" applyAlignment="1">
      <alignment horizontal="center" vertical="center"/>
    </xf>
    <xf numFmtId="43" fontId="5" fillId="4" borderId="28" xfId="1" applyFont="1" applyFill="1" applyBorder="1" applyAlignment="1" applyProtection="1">
      <alignment horizontal="center" vertical="center"/>
    </xf>
    <xf numFmtId="43" fontId="5" fillId="4" borderId="29" xfId="1" applyFont="1" applyFill="1" applyBorder="1" applyAlignment="1" applyProtection="1">
      <alignment horizontal="center" vertical="center"/>
    </xf>
    <xf numFmtId="43" fontId="5" fillId="4" borderId="30" xfId="1" applyFont="1" applyFill="1" applyBorder="1" applyAlignment="1" applyProtection="1">
      <alignment horizontal="center" vertical="center"/>
    </xf>
    <xf numFmtId="43" fontId="5" fillId="4" borderId="17" xfId="1" applyFont="1" applyFill="1" applyBorder="1" applyAlignment="1" applyProtection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/>
    </xf>
    <xf numFmtId="43" fontId="5" fillId="4" borderId="1" xfId="1" applyFont="1" applyFill="1" applyBorder="1" applyAlignment="1" applyProtection="1">
      <alignment horizontal="center" vertical="center"/>
    </xf>
    <xf numFmtId="43" fontId="5" fillId="4" borderId="3" xfId="1" applyFont="1" applyFill="1" applyBorder="1" applyAlignment="1" applyProtection="1">
      <alignment horizontal="center" vertical="center"/>
    </xf>
    <xf numFmtId="43" fontId="5" fillId="4" borderId="2" xfId="1" applyFont="1" applyFill="1" applyBorder="1" applyAlignment="1" applyProtection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7" fillId="3" borderId="14" xfId="1" applyNumberFormat="1" applyFont="1" applyFill="1" applyBorder="1" applyAlignment="1" applyProtection="1">
      <alignment horizontal="center" vertical="center"/>
    </xf>
    <xf numFmtId="164" fontId="7" fillId="3" borderId="20" xfId="1" applyNumberFormat="1" applyFont="1" applyFill="1" applyBorder="1" applyAlignment="1" applyProtection="1">
      <alignment horizontal="center" vertical="center"/>
    </xf>
    <xf numFmtId="164" fontId="7" fillId="3" borderId="0" xfId="1" applyNumberFormat="1" applyFont="1" applyFill="1" applyBorder="1" applyAlignment="1" applyProtection="1">
      <alignment horizontal="center" vertical="center"/>
    </xf>
    <xf numFmtId="164" fontId="7" fillId="3" borderId="10" xfId="1" applyNumberFormat="1" applyFont="1" applyFill="1" applyBorder="1" applyAlignment="1" applyProtection="1">
      <alignment horizontal="center" vertical="center"/>
    </xf>
    <xf numFmtId="164" fontId="7" fillId="3" borderId="13" xfId="1" applyNumberFormat="1" applyFont="1" applyFill="1" applyBorder="1" applyAlignment="1" applyProtection="1">
      <alignment horizontal="center" vertical="center"/>
    </xf>
    <xf numFmtId="164" fontId="7" fillId="3" borderId="12" xfId="1" applyNumberFormat="1" applyFont="1" applyFill="1" applyBorder="1" applyAlignment="1" applyProtection="1">
      <alignment horizontal="center" vertical="center"/>
    </xf>
    <xf numFmtId="43" fontId="5" fillId="4" borderId="16" xfId="1" applyFont="1" applyFill="1" applyBorder="1" applyAlignment="1" applyProtection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43" fontId="5" fillId="4" borderId="31" xfId="1" applyFont="1" applyFill="1" applyBorder="1" applyAlignment="1" applyProtection="1">
      <alignment horizontal="center" vertical="center"/>
    </xf>
    <xf numFmtId="43" fontId="6" fillId="4" borderId="31" xfId="1" applyFont="1" applyFill="1" applyBorder="1" applyAlignment="1" applyProtection="1">
      <alignment horizontal="center" vertical="center"/>
    </xf>
  </cellXfs>
  <cellStyles count="2">
    <cellStyle name="Normal" xfId="0" builtinId="0"/>
    <cellStyle name="Vírgula" xfId="1" builtinId="3"/>
  </cellStyles>
  <dxfs count="43"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&quot;R$&quot;\ #,##0.00"/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000000"/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numFmt numFmtId="167" formatCode="&quot;R$&quot;\ #,##0.00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168" formatCode="0000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7" formatCode="&quot;R$&quot;\ #,##0.00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168" formatCode="0000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167" formatCode="&quot;R$&quot;\ #,##0.00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168" formatCode="0000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7" formatCode="&quot;R$&quot;\ #,##0.00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168" formatCode="0000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7" formatCode="&quot;R$&quot;\ #,##0.00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168" formatCode="0000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7" formatCode="&quot;R$&quot;\ #,##0.00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168" formatCode="0000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BasePerfis" displayName="BasePerfis" ref="A1:C66" totalsRowShown="0" headerRowDxfId="42" dataDxfId="41">
  <autoFilter ref="A1:C66"/>
  <sortState ref="A2:C62">
    <sortCondition ref="B1:B62"/>
  </sortState>
  <tableColumns count="3">
    <tableColumn id="1" name="Codigo" dataDxfId="40"/>
    <tableColumn id="2" name="Descrição" dataDxfId="39"/>
    <tableColumn id="3" name="Preço" dataDxfId="3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BasePerfilPuxadores" displayName="BasePerfilPuxadores" ref="A1:C47" totalsRowShown="0" headerRowDxfId="37" dataDxfId="36">
  <autoFilter ref="A1:C47"/>
  <sortState ref="A2:F47">
    <sortCondition ref="B1:B47"/>
  </sortState>
  <tableColumns count="3">
    <tableColumn id="1" name="Codigo" dataDxfId="35"/>
    <tableColumn id="2" name="Descrição" dataDxfId="34"/>
    <tableColumn id="3" name="Preço" dataDxfId="3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BasePuxadores" displayName="BasePuxadores" ref="A1:C45" totalsRowShown="0" headerRowDxfId="32" dataDxfId="31">
  <autoFilter ref="A1:C45"/>
  <sortState ref="A2:F44">
    <sortCondition ref="B1:B44"/>
  </sortState>
  <tableColumns count="3">
    <tableColumn id="1" name="Codigo" dataDxfId="30"/>
    <tableColumn id="2" name="Descrição" dataDxfId="29"/>
    <tableColumn id="3" name="Preço" dataDxfId="28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BaseDivisores" displayName="BaseDivisores" ref="A1:F25" totalsRowShown="0" headerRowDxfId="27" dataDxfId="26">
  <autoFilter ref="A1:F25"/>
  <sortState ref="A2:F24">
    <sortCondition ref="B1:B24"/>
  </sortState>
  <tableColumns count="6">
    <tableColumn id="1" name="Codigo" dataDxfId="25"/>
    <tableColumn id="2" name="Descrição" dataDxfId="24"/>
    <tableColumn id="3" name="Preço" dataDxfId="23"/>
    <tableColumn id="4" name="Acabamento" dataDxfId="22"/>
    <tableColumn id="5" name="Tipo" dataDxfId="21"/>
    <tableColumn id="6" name="Modelo" dataDxfId="2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BaseAmbientes" displayName="BaseAmbientes" ref="A1:C17" totalsRowShown="0" headerRowDxfId="19" dataDxfId="18">
  <autoFilter ref="A1:C17"/>
  <tableColumns count="3">
    <tableColumn id="1" name="Codigo" dataDxfId="17"/>
    <tableColumn id="2" name="Descrição" dataDxfId="16"/>
    <tableColumn id="3" name="Preço" dataDxfId="1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BaseVidros" displayName="BaseVidros" ref="A1:C33" totalsRowShown="0" headerRowDxfId="14" dataDxfId="13">
  <autoFilter ref="A1:C33"/>
  <sortState ref="A2:C32">
    <sortCondition ref="B2"/>
  </sortState>
  <tableColumns count="3">
    <tableColumn id="1" name="Codigo" dataDxfId="12"/>
    <tableColumn id="2" name="Descrição" dataDxfId="11"/>
    <tableColumn id="3" name="Preço" dataDxfId="1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8" name="BaseExtra" displayName="BaseExtra" ref="A1:C11" totalsRowShown="0" dataDxfId="8" headerRowBorderDxfId="9" tableBorderDxfId="7" totalsRowBorderDxfId="6">
  <autoFilter ref="A1:C11"/>
  <tableColumns count="3">
    <tableColumn id="1" name="Código" dataDxfId="5"/>
    <tableColumn id="2" name="Item" dataDxfId="4"/>
    <tableColumn id="3" name="Valor" dataDxfId="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9" name="BaseOutros" displayName="BaseOutros" ref="G1:I5" totalsRowShown="0" headerRowBorderDxfId="2" tableBorderDxfId="1" totalsRowBorderDxfId="0">
  <autoFilter ref="G1:I5"/>
  <tableColumns count="3">
    <tableColumn id="1" name="Código"/>
    <tableColumn id="2" name="Item"/>
    <tableColumn id="3" name="Val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6"/>
  <sheetViews>
    <sheetView workbookViewId="0">
      <selection activeCell="A6" sqref="A6"/>
    </sheetView>
  </sheetViews>
  <sheetFormatPr defaultRowHeight="15" x14ac:dyDescent="0.25"/>
  <cols>
    <col min="1" max="1" width="9.42578125" bestFit="1" customWidth="1"/>
    <col min="2" max="2" width="41" bestFit="1" customWidth="1"/>
  </cols>
  <sheetData>
    <row r="1" spans="1:3" x14ac:dyDescent="0.25">
      <c r="A1" s="61" t="s">
        <v>82</v>
      </c>
      <c r="B1" s="62" t="s">
        <v>83</v>
      </c>
      <c r="C1" s="63" t="s">
        <v>84</v>
      </c>
    </row>
    <row r="2" spans="1:3" x14ac:dyDescent="0.25">
      <c r="A2" s="61">
        <v>17914</v>
      </c>
      <c r="B2" s="62" t="s">
        <v>474</v>
      </c>
      <c r="C2" s="63">
        <v>36.25</v>
      </c>
    </row>
    <row r="3" spans="1:3" x14ac:dyDescent="0.25">
      <c r="A3" s="61">
        <v>17695</v>
      </c>
      <c r="B3" s="62" t="s">
        <v>470</v>
      </c>
      <c r="C3" s="63">
        <v>35.6</v>
      </c>
    </row>
    <row r="4" spans="1:3" x14ac:dyDescent="0.25">
      <c r="A4" s="61">
        <v>18058</v>
      </c>
      <c r="B4" s="62" t="s">
        <v>475</v>
      </c>
      <c r="C4" s="63">
        <v>42.95</v>
      </c>
    </row>
    <row r="5" spans="1:3" x14ac:dyDescent="0.25">
      <c r="A5" s="61" t="s">
        <v>113</v>
      </c>
      <c r="B5" s="62" t="s">
        <v>114</v>
      </c>
      <c r="C5" s="63">
        <v>49.9</v>
      </c>
    </row>
    <row r="6" spans="1:3" x14ac:dyDescent="0.25">
      <c r="A6" s="61" t="s">
        <v>115</v>
      </c>
      <c r="B6" s="62" t="s">
        <v>116</v>
      </c>
      <c r="C6" s="63">
        <v>58.75</v>
      </c>
    </row>
    <row r="7" spans="1:3" x14ac:dyDescent="0.25">
      <c r="A7" s="61" t="s">
        <v>117</v>
      </c>
      <c r="B7" s="62" t="s">
        <v>118</v>
      </c>
      <c r="C7" s="63">
        <v>55.9</v>
      </c>
    </row>
    <row r="8" spans="1:3" x14ac:dyDescent="0.25">
      <c r="A8" s="61">
        <v>5002</v>
      </c>
      <c r="B8" s="62" t="s">
        <v>451</v>
      </c>
      <c r="C8" s="63">
        <v>58.3</v>
      </c>
    </row>
    <row r="9" spans="1:3" x14ac:dyDescent="0.25">
      <c r="A9" s="61" t="s">
        <v>119</v>
      </c>
      <c r="B9" s="62" t="s">
        <v>120</v>
      </c>
      <c r="C9" s="63">
        <v>51</v>
      </c>
    </row>
    <row r="10" spans="1:3" x14ac:dyDescent="0.25">
      <c r="A10" s="61">
        <v>16535</v>
      </c>
      <c r="B10" s="62" t="s">
        <v>452</v>
      </c>
      <c r="C10" s="63">
        <v>58.5</v>
      </c>
    </row>
    <row r="11" spans="1:3" x14ac:dyDescent="0.25">
      <c r="A11" s="61">
        <v>17611</v>
      </c>
      <c r="B11" s="62" t="s">
        <v>471</v>
      </c>
      <c r="C11" s="63">
        <v>65.25</v>
      </c>
    </row>
    <row r="12" spans="1:3" x14ac:dyDescent="0.25">
      <c r="A12" s="61">
        <v>16499</v>
      </c>
      <c r="B12" s="62" t="s">
        <v>453</v>
      </c>
      <c r="C12" s="63">
        <v>67.2</v>
      </c>
    </row>
    <row r="13" spans="1:3" x14ac:dyDescent="0.25">
      <c r="A13" s="61" t="s">
        <v>121</v>
      </c>
      <c r="B13" s="62" t="s">
        <v>122</v>
      </c>
      <c r="C13" s="63">
        <v>49.244999999999997</v>
      </c>
    </row>
    <row r="14" spans="1:3" x14ac:dyDescent="0.25">
      <c r="A14" s="61" t="s">
        <v>123</v>
      </c>
      <c r="B14" s="62" t="s">
        <v>124</v>
      </c>
      <c r="C14" s="63">
        <v>31.5</v>
      </c>
    </row>
    <row r="15" spans="1:3" x14ac:dyDescent="0.25">
      <c r="A15" s="61" t="s">
        <v>125</v>
      </c>
      <c r="B15" s="62" t="s">
        <v>126</v>
      </c>
      <c r="C15" s="63">
        <v>53.4</v>
      </c>
    </row>
    <row r="16" spans="1:3" x14ac:dyDescent="0.25">
      <c r="A16" s="61" t="s">
        <v>127</v>
      </c>
      <c r="B16" s="62" t="s">
        <v>128</v>
      </c>
      <c r="C16" s="63">
        <v>56</v>
      </c>
    </row>
    <row r="17" spans="1:3" x14ac:dyDescent="0.25">
      <c r="A17" s="61" t="s">
        <v>129</v>
      </c>
      <c r="B17" s="62" t="s">
        <v>130</v>
      </c>
      <c r="C17" s="63">
        <v>59</v>
      </c>
    </row>
    <row r="18" spans="1:3" x14ac:dyDescent="0.25">
      <c r="A18" s="61" t="s">
        <v>131</v>
      </c>
      <c r="B18" s="62" t="s">
        <v>132</v>
      </c>
      <c r="C18" s="63">
        <v>68.2</v>
      </c>
    </row>
    <row r="19" spans="1:3" x14ac:dyDescent="0.25">
      <c r="A19" s="61" t="s">
        <v>133</v>
      </c>
      <c r="B19" s="62" t="s">
        <v>134</v>
      </c>
      <c r="C19" s="63">
        <v>72.5</v>
      </c>
    </row>
    <row r="20" spans="1:3" x14ac:dyDescent="0.25">
      <c r="A20" s="61" t="s">
        <v>135</v>
      </c>
      <c r="B20" s="62" t="s">
        <v>136</v>
      </c>
      <c r="C20" s="63">
        <v>60.5</v>
      </c>
    </row>
    <row r="21" spans="1:3" x14ac:dyDescent="0.25">
      <c r="A21" s="61" t="s">
        <v>137</v>
      </c>
      <c r="B21" s="62" t="s">
        <v>138</v>
      </c>
      <c r="C21" s="63">
        <v>53.8</v>
      </c>
    </row>
    <row r="22" spans="1:3" x14ac:dyDescent="0.25">
      <c r="A22" s="61" t="s">
        <v>139</v>
      </c>
      <c r="B22" s="62" t="s">
        <v>140</v>
      </c>
      <c r="C22" s="63">
        <v>61.9</v>
      </c>
    </row>
    <row r="23" spans="1:3" x14ac:dyDescent="0.25">
      <c r="A23" s="61" t="s">
        <v>141</v>
      </c>
      <c r="B23" s="62" t="s">
        <v>142</v>
      </c>
      <c r="C23" s="63">
        <v>65.650000000000006</v>
      </c>
    </row>
    <row r="24" spans="1:3" x14ac:dyDescent="0.25">
      <c r="A24" s="61" t="s">
        <v>143</v>
      </c>
      <c r="B24" s="62" t="s">
        <v>144</v>
      </c>
      <c r="C24" s="63">
        <v>40.561500000000002</v>
      </c>
    </row>
    <row r="25" spans="1:3" x14ac:dyDescent="0.25">
      <c r="A25" s="61" t="s">
        <v>145</v>
      </c>
      <c r="B25" s="62" t="s">
        <v>146</v>
      </c>
      <c r="C25" s="63">
        <v>40.561500000000002</v>
      </c>
    </row>
    <row r="26" spans="1:3" x14ac:dyDescent="0.25">
      <c r="A26" s="61" t="s">
        <v>147</v>
      </c>
      <c r="B26" s="62" t="s">
        <v>148</v>
      </c>
      <c r="C26" s="63">
        <v>38.0625</v>
      </c>
    </row>
    <row r="27" spans="1:3" x14ac:dyDescent="0.25">
      <c r="A27" s="61" t="s">
        <v>149</v>
      </c>
      <c r="B27" s="62" t="s">
        <v>150</v>
      </c>
      <c r="C27" s="63">
        <v>58.15</v>
      </c>
    </row>
    <row r="28" spans="1:3" x14ac:dyDescent="0.25">
      <c r="A28" s="61" t="s">
        <v>151</v>
      </c>
      <c r="B28" s="62" t="s">
        <v>152</v>
      </c>
      <c r="C28" s="63">
        <v>67.900000000000006</v>
      </c>
    </row>
    <row r="29" spans="1:3" x14ac:dyDescent="0.25">
      <c r="A29" s="61" t="s">
        <v>153</v>
      </c>
      <c r="B29" s="62" t="s">
        <v>154</v>
      </c>
      <c r="C29" s="63">
        <v>80.5</v>
      </c>
    </row>
    <row r="30" spans="1:3" x14ac:dyDescent="0.25">
      <c r="A30" s="61" t="s">
        <v>155</v>
      </c>
      <c r="B30" s="62" t="s">
        <v>156</v>
      </c>
      <c r="C30" s="63" t="s">
        <v>454</v>
      </c>
    </row>
    <row r="31" spans="1:3" x14ac:dyDescent="0.25">
      <c r="A31" s="61" t="s">
        <v>157</v>
      </c>
      <c r="B31" s="62" t="s">
        <v>158</v>
      </c>
      <c r="C31" s="63">
        <v>71.25</v>
      </c>
    </row>
    <row r="32" spans="1:3" x14ac:dyDescent="0.25">
      <c r="A32" s="61">
        <v>17697</v>
      </c>
      <c r="B32" s="62" t="s">
        <v>469</v>
      </c>
      <c r="C32" s="63">
        <v>48.6</v>
      </c>
    </row>
    <row r="33" spans="1:3" x14ac:dyDescent="0.25">
      <c r="A33" s="61" t="s">
        <v>159</v>
      </c>
      <c r="B33" s="62" t="s">
        <v>160</v>
      </c>
      <c r="C33" s="63">
        <v>75</v>
      </c>
    </row>
    <row r="34" spans="1:3" x14ac:dyDescent="0.25">
      <c r="A34" s="61" t="s">
        <v>161</v>
      </c>
      <c r="B34" s="62" t="s">
        <v>162</v>
      </c>
      <c r="C34" s="63">
        <v>66.400000000000006</v>
      </c>
    </row>
    <row r="35" spans="1:3" x14ac:dyDescent="0.25">
      <c r="A35" s="61" t="s">
        <v>163</v>
      </c>
      <c r="B35" s="62" t="s">
        <v>164</v>
      </c>
      <c r="C35" s="63">
        <v>71.900000000000006</v>
      </c>
    </row>
    <row r="36" spans="1:3" x14ac:dyDescent="0.25">
      <c r="A36" s="61" t="s">
        <v>165</v>
      </c>
      <c r="B36" s="62" t="s">
        <v>166</v>
      </c>
      <c r="C36" s="63">
        <v>72.260000000000005</v>
      </c>
    </row>
    <row r="37" spans="1:3" x14ac:dyDescent="0.25">
      <c r="A37" s="61" t="s">
        <v>167</v>
      </c>
      <c r="B37" s="62" t="s">
        <v>168</v>
      </c>
      <c r="C37" s="63">
        <v>82.85</v>
      </c>
    </row>
    <row r="38" spans="1:3" x14ac:dyDescent="0.25">
      <c r="A38" s="61" t="s">
        <v>169</v>
      </c>
      <c r="B38" s="62" t="s">
        <v>170</v>
      </c>
      <c r="C38" s="63">
        <v>55.4</v>
      </c>
    </row>
    <row r="39" spans="1:3" x14ac:dyDescent="0.25">
      <c r="A39" s="61" t="s">
        <v>171</v>
      </c>
      <c r="B39" s="62" t="s">
        <v>449</v>
      </c>
      <c r="C39" s="63">
        <v>93.45</v>
      </c>
    </row>
    <row r="40" spans="1:3" x14ac:dyDescent="0.25">
      <c r="A40" s="61" t="s">
        <v>172</v>
      </c>
      <c r="B40" s="62" t="s">
        <v>173</v>
      </c>
      <c r="C40" s="63">
        <v>85</v>
      </c>
    </row>
    <row r="41" spans="1:3" x14ac:dyDescent="0.25">
      <c r="A41" s="61" t="s">
        <v>174</v>
      </c>
      <c r="B41" s="62" t="s">
        <v>175</v>
      </c>
      <c r="C41" s="63">
        <v>95.4</v>
      </c>
    </row>
    <row r="42" spans="1:3" x14ac:dyDescent="0.25">
      <c r="A42" s="61" t="s">
        <v>176</v>
      </c>
      <c r="B42" s="62" t="s">
        <v>177</v>
      </c>
      <c r="C42" s="63">
        <v>52.7</v>
      </c>
    </row>
    <row r="43" spans="1:3" x14ac:dyDescent="0.25">
      <c r="A43" s="61" t="s">
        <v>178</v>
      </c>
      <c r="B43" s="62" t="s">
        <v>179</v>
      </c>
      <c r="C43" s="63">
        <v>52.8</v>
      </c>
    </row>
    <row r="44" spans="1:3" x14ac:dyDescent="0.25">
      <c r="A44" s="61" t="s">
        <v>180</v>
      </c>
      <c r="B44" s="62" t="s">
        <v>181</v>
      </c>
      <c r="C44" s="63">
        <v>60.3</v>
      </c>
    </row>
    <row r="45" spans="1:3" x14ac:dyDescent="0.25">
      <c r="A45" s="61" t="s">
        <v>182</v>
      </c>
      <c r="B45" s="62" t="s">
        <v>183</v>
      </c>
      <c r="C45" s="63" t="s">
        <v>454</v>
      </c>
    </row>
    <row r="46" spans="1:3" x14ac:dyDescent="0.25">
      <c r="A46" s="61">
        <v>17698</v>
      </c>
      <c r="B46" s="62" t="s">
        <v>464</v>
      </c>
      <c r="C46" s="63">
        <v>39.299999999999997</v>
      </c>
    </row>
    <row r="47" spans="1:3" x14ac:dyDescent="0.25">
      <c r="A47" s="61" t="s">
        <v>185</v>
      </c>
      <c r="B47" s="62" t="s">
        <v>186</v>
      </c>
      <c r="C47" s="63">
        <v>54.75</v>
      </c>
    </row>
    <row r="48" spans="1:3" x14ac:dyDescent="0.25">
      <c r="A48" s="61" t="s">
        <v>187</v>
      </c>
      <c r="B48" s="62" t="s">
        <v>188</v>
      </c>
      <c r="C48" s="63">
        <v>46.34</v>
      </c>
    </row>
    <row r="49" spans="1:3" x14ac:dyDescent="0.25">
      <c r="A49" s="61" t="s">
        <v>189</v>
      </c>
      <c r="B49" s="62" t="s">
        <v>190</v>
      </c>
      <c r="C49" s="63">
        <v>57.5</v>
      </c>
    </row>
    <row r="50" spans="1:3" x14ac:dyDescent="0.25">
      <c r="A50" s="61" t="s">
        <v>191</v>
      </c>
      <c r="B50" s="62" t="s">
        <v>192</v>
      </c>
      <c r="C50" s="63" t="s">
        <v>454</v>
      </c>
    </row>
    <row r="51" spans="1:3" x14ac:dyDescent="0.25">
      <c r="A51" s="61" t="s">
        <v>193</v>
      </c>
      <c r="B51" s="62" t="s">
        <v>194</v>
      </c>
      <c r="C51" s="63">
        <v>63.7</v>
      </c>
    </row>
    <row r="52" spans="1:3" x14ac:dyDescent="0.25">
      <c r="A52" s="61" t="s">
        <v>184</v>
      </c>
      <c r="B52" s="62" t="s">
        <v>450</v>
      </c>
      <c r="C52" s="63">
        <v>43.6</v>
      </c>
    </row>
    <row r="53" spans="1:3" x14ac:dyDescent="0.25">
      <c r="A53" s="61" t="s">
        <v>195</v>
      </c>
      <c r="B53" s="62" t="s">
        <v>196</v>
      </c>
      <c r="C53" s="63">
        <v>55.75</v>
      </c>
    </row>
    <row r="54" spans="1:3" x14ac:dyDescent="0.25">
      <c r="A54" s="61" t="s">
        <v>197</v>
      </c>
      <c r="B54" s="62" t="s">
        <v>198</v>
      </c>
      <c r="C54" s="63">
        <v>61.7</v>
      </c>
    </row>
    <row r="55" spans="1:3" x14ac:dyDescent="0.25">
      <c r="A55" s="61" t="s">
        <v>199</v>
      </c>
      <c r="B55" s="62" t="s">
        <v>200</v>
      </c>
      <c r="C55" s="63">
        <v>74.599999999999994</v>
      </c>
    </row>
    <row r="56" spans="1:3" x14ac:dyDescent="0.25">
      <c r="A56" s="61">
        <v>16128</v>
      </c>
      <c r="B56" s="62" t="s">
        <v>446</v>
      </c>
      <c r="C56" s="63">
        <v>70.7</v>
      </c>
    </row>
    <row r="57" spans="1:3" x14ac:dyDescent="0.25">
      <c r="A57" s="61" t="s">
        <v>201</v>
      </c>
      <c r="B57" s="62" t="s">
        <v>202</v>
      </c>
      <c r="C57" s="63">
        <v>58.71</v>
      </c>
    </row>
    <row r="58" spans="1:3" x14ac:dyDescent="0.25">
      <c r="A58" s="61" t="s">
        <v>203</v>
      </c>
      <c r="B58" s="62" t="s">
        <v>204</v>
      </c>
      <c r="C58" s="63">
        <v>68.3</v>
      </c>
    </row>
    <row r="59" spans="1:3" x14ac:dyDescent="0.25">
      <c r="A59" s="61" t="s">
        <v>205</v>
      </c>
      <c r="B59" s="62" t="s">
        <v>206</v>
      </c>
      <c r="C59" s="63">
        <v>66.709999999999994</v>
      </c>
    </row>
    <row r="60" spans="1:3" x14ac:dyDescent="0.25">
      <c r="A60" s="61" t="s">
        <v>207</v>
      </c>
      <c r="B60" s="62" t="s">
        <v>208</v>
      </c>
      <c r="C60" s="63">
        <v>80.69</v>
      </c>
    </row>
    <row r="61" spans="1:3" x14ac:dyDescent="0.25">
      <c r="A61" s="61" t="s">
        <v>209</v>
      </c>
      <c r="B61" s="62" t="s">
        <v>210</v>
      </c>
      <c r="C61" s="63">
        <v>97.6</v>
      </c>
    </row>
    <row r="62" spans="1:3" x14ac:dyDescent="0.25">
      <c r="A62" s="61" t="s">
        <v>211</v>
      </c>
      <c r="B62" s="62" t="s">
        <v>212</v>
      </c>
      <c r="C62" s="63">
        <v>100.84</v>
      </c>
    </row>
    <row r="63" spans="1:3" x14ac:dyDescent="0.25">
      <c r="A63" s="61" t="s">
        <v>213</v>
      </c>
      <c r="B63" s="62" t="s">
        <v>448</v>
      </c>
      <c r="C63" s="63">
        <v>44.25</v>
      </c>
    </row>
    <row r="64" spans="1:3" x14ac:dyDescent="0.25">
      <c r="A64" s="61" t="s">
        <v>214</v>
      </c>
      <c r="B64" s="62" t="s">
        <v>447</v>
      </c>
      <c r="C64" s="63">
        <v>51.9</v>
      </c>
    </row>
    <row r="65" spans="1:3" x14ac:dyDescent="0.25">
      <c r="A65" s="61" t="s">
        <v>215</v>
      </c>
      <c r="B65" s="62" t="s">
        <v>216</v>
      </c>
      <c r="C65" s="63">
        <v>44.5</v>
      </c>
    </row>
    <row r="66" spans="1:3" x14ac:dyDescent="0.25">
      <c r="A66" s="61"/>
      <c r="B66" s="62"/>
      <c r="C66" s="63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Views>
    <sheetView topLeftCell="A19" workbookViewId="0">
      <selection activeCell="A28" sqref="A28"/>
    </sheetView>
  </sheetViews>
  <sheetFormatPr defaultRowHeight="15" x14ac:dyDescent="0.25"/>
  <cols>
    <col min="1" max="1" width="7.140625" bestFit="1" customWidth="1"/>
    <col min="2" max="2" width="55.85546875" bestFit="1" customWidth="1"/>
    <col min="3" max="3" width="12.42578125" customWidth="1"/>
    <col min="5" max="5" width="10.140625" customWidth="1"/>
    <col min="6" max="6" width="56.42578125" customWidth="1"/>
  </cols>
  <sheetData>
    <row r="1" spans="1:3" x14ac:dyDescent="0.25">
      <c r="A1" s="61" t="s">
        <v>82</v>
      </c>
      <c r="B1" s="62" t="s">
        <v>83</v>
      </c>
      <c r="C1" s="63" t="s">
        <v>84</v>
      </c>
    </row>
    <row r="2" spans="1:3" x14ac:dyDescent="0.25">
      <c r="A2" s="61" t="s">
        <v>217</v>
      </c>
      <c r="B2" s="62" t="s">
        <v>218</v>
      </c>
      <c r="C2" s="63">
        <v>94.9</v>
      </c>
    </row>
    <row r="3" spans="1:3" x14ac:dyDescent="0.25">
      <c r="A3" s="61" t="s">
        <v>219</v>
      </c>
      <c r="B3" s="62" t="s">
        <v>220</v>
      </c>
      <c r="C3" s="63">
        <v>111</v>
      </c>
    </row>
    <row r="4" spans="1:3" x14ac:dyDescent="0.25">
      <c r="A4" s="61" t="s">
        <v>221</v>
      </c>
      <c r="B4" s="62" t="s">
        <v>222</v>
      </c>
      <c r="C4" s="63">
        <v>110.6</v>
      </c>
    </row>
    <row r="5" spans="1:3" x14ac:dyDescent="0.25">
      <c r="A5" s="61" t="s">
        <v>223</v>
      </c>
      <c r="B5" s="62" t="s">
        <v>224</v>
      </c>
      <c r="C5" s="63">
        <v>102.8</v>
      </c>
    </row>
    <row r="6" spans="1:3" x14ac:dyDescent="0.25">
      <c r="A6" s="61" t="s">
        <v>225</v>
      </c>
      <c r="B6" s="62" t="s">
        <v>226</v>
      </c>
      <c r="C6" s="63">
        <v>107.9</v>
      </c>
    </row>
    <row r="7" spans="1:3" x14ac:dyDescent="0.25">
      <c r="A7" s="61" t="s">
        <v>227</v>
      </c>
      <c r="B7" s="62" t="s">
        <v>228</v>
      </c>
      <c r="C7" s="63">
        <v>58.695</v>
      </c>
    </row>
    <row r="8" spans="1:3" x14ac:dyDescent="0.25">
      <c r="A8" s="61" t="s">
        <v>229</v>
      </c>
      <c r="B8" s="62" t="s">
        <v>230</v>
      </c>
      <c r="C8" s="63">
        <v>53.55</v>
      </c>
    </row>
    <row r="9" spans="1:3" x14ac:dyDescent="0.25">
      <c r="A9" s="61" t="s">
        <v>231</v>
      </c>
      <c r="B9" s="62" t="s">
        <v>232</v>
      </c>
      <c r="C9" s="63">
        <v>50.137500000000003</v>
      </c>
    </row>
    <row r="10" spans="1:3" x14ac:dyDescent="0.25">
      <c r="A10" s="61" t="s">
        <v>233</v>
      </c>
      <c r="B10" s="62" t="s">
        <v>234</v>
      </c>
      <c r="C10" s="63">
        <v>64.099999999999994</v>
      </c>
    </row>
    <row r="11" spans="1:3" x14ac:dyDescent="0.25">
      <c r="A11" s="61" t="s">
        <v>235</v>
      </c>
      <c r="B11" s="62" t="s">
        <v>236</v>
      </c>
      <c r="C11" s="63" t="s">
        <v>454</v>
      </c>
    </row>
    <row r="12" spans="1:3" x14ac:dyDescent="0.25">
      <c r="A12" s="61" t="s">
        <v>237</v>
      </c>
      <c r="B12" s="62" t="s">
        <v>238</v>
      </c>
      <c r="C12" s="63">
        <v>78.224999999999994</v>
      </c>
    </row>
    <row r="13" spans="1:3" x14ac:dyDescent="0.25">
      <c r="A13" s="61" t="s">
        <v>239</v>
      </c>
      <c r="B13" s="62" t="s">
        <v>240</v>
      </c>
      <c r="C13" s="63">
        <v>84</v>
      </c>
    </row>
    <row r="14" spans="1:3" x14ac:dyDescent="0.25">
      <c r="A14" s="61" t="s">
        <v>241</v>
      </c>
      <c r="B14" s="62" t="s">
        <v>242</v>
      </c>
      <c r="C14" s="63">
        <v>59.01</v>
      </c>
    </row>
    <row r="15" spans="1:3" x14ac:dyDescent="0.25">
      <c r="A15" s="61" t="s">
        <v>243</v>
      </c>
      <c r="B15" s="62" t="s">
        <v>244</v>
      </c>
      <c r="C15" s="63">
        <v>76.650000000000006</v>
      </c>
    </row>
    <row r="16" spans="1:3" x14ac:dyDescent="0.25">
      <c r="A16" s="61" t="s">
        <v>245</v>
      </c>
      <c r="B16" s="62" t="s">
        <v>246</v>
      </c>
      <c r="C16" s="63">
        <v>115.15</v>
      </c>
    </row>
    <row r="17" spans="1:3" x14ac:dyDescent="0.25">
      <c r="A17" s="61" t="s">
        <v>247</v>
      </c>
      <c r="B17" s="62" t="s">
        <v>248</v>
      </c>
      <c r="C17" s="63">
        <v>73.867500000000007</v>
      </c>
    </row>
    <row r="18" spans="1:3" x14ac:dyDescent="0.25">
      <c r="A18" s="61">
        <v>16822</v>
      </c>
      <c r="B18" s="62" t="s">
        <v>457</v>
      </c>
      <c r="C18" s="63">
        <v>80.5</v>
      </c>
    </row>
    <row r="19" spans="1:3" x14ac:dyDescent="0.25">
      <c r="A19" s="61">
        <v>2189</v>
      </c>
      <c r="B19" s="62" t="s">
        <v>458</v>
      </c>
      <c r="C19" s="63">
        <v>104.9</v>
      </c>
    </row>
    <row r="20" spans="1:3" x14ac:dyDescent="0.25">
      <c r="A20" s="61">
        <v>16800</v>
      </c>
      <c r="B20" s="62" t="s">
        <v>460</v>
      </c>
      <c r="C20" s="63">
        <v>94.3</v>
      </c>
    </row>
    <row r="21" spans="1:3" x14ac:dyDescent="0.25">
      <c r="A21" s="61">
        <v>16705</v>
      </c>
      <c r="B21" s="62" t="s">
        <v>459</v>
      </c>
      <c r="C21" s="63">
        <v>96</v>
      </c>
    </row>
    <row r="22" spans="1:3" x14ac:dyDescent="0.25">
      <c r="A22" s="61" t="s">
        <v>249</v>
      </c>
      <c r="B22" s="62" t="s">
        <v>250</v>
      </c>
      <c r="C22" s="63">
        <v>59.6</v>
      </c>
    </row>
    <row r="23" spans="1:3" x14ac:dyDescent="0.25">
      <c r="A23" s="61" t="s">
        <v>251</v>
      </c>
      <c r="B23" s="62" t="s">
        <v>252</v>
      </c>
      <c r="C23" s="63">
        <v>70.8</v>
      </c>
    </row>
    <row r="24" spans="1:3" x14ac:dyDescent="0.25">
      <c r="A24" s="61" t="s">
        <v>291</v>
      </c>
      <c r="B24" s="62" t="s">
        <v>292</v>
      </c>
      <c r="C24" s="63">
        <v>78.650000000000006</v>
      </c>
    </row>
    <row r="25" spans="1:3" x14ac:dyDescent="0.25">
      <c r="A25" s="61" t="s">
        <v>253</v>
      </c>
      <c r="B25" s="62" t="s">
        <v>254</v>
      </c>
      <c r="C25" s="63">
        <v>77.7</v>
      </c>
    </row>
    <row r="26" spans="1:3" x14ac:dyDescent="0.25">
      <c r="A26" s="61">
        <v>17699</v>
      </c>
      <c r="B26" s="62" t="s">
        <v>465</v>
      </c>
      <c r="C26" s="63">
        <v>59.9</v>
      </c>
    </row>
    <row r="27" spans="1:3" x14ac:dyDescent="0.25">
      <c r="A27" s="61" t="s">
        <v>255</v>
      </c>
      <c r="B27" s="62" t="s">
        <v>256</v>
      </c>
      <c r="C27" s="63">
        <v>79.45</v>
      </c>
    </row>
    <row r="28" spans="1:3" x14ac:dyDescent="0.25">
      <c r="A28" s="61" t="s">
        <v>257</v>
      </c>
      <c r="B28" s="62" t="s">
        <v>258</v>
      </c>
      <c r="C28" s="63">
        <v>72.150000000000006</v>
      </c>
    </row>
    <row r="29" spans="1:3" x14ac:dyDescent="0.25">
      <c r="A29" s="61" t="s">
        <v>259</v>
      </c>
      <c r="B29" s="62" t="s">
        <v>260</v>
      </c>
      <c r="C29" s="63">
        <v>88.8</v>
      </c>
    </row>
    <row r="30" spans="1:3" x14ac:dyDescent="0.25">
      <c r="A30" s="61" t="s">
        <v>261</v>
      </c>
      <c r="B30" s="62" t="s">
        <v>262</v>
      </c>
      <c r="C30" s="63">
        <v>104.06</v>
      </c>
    </row>
    <row r="31" spans="1:3" x14ac:dyDescent="0.25">
      <c r="A31" s="61" t="s">
        <v>263</v>
      </c>
      <c r="B31" s="62" t="s">
        <v>264</v>
      </c>
      <c r="C31" s="63">
        <v>94.79</v>
      </c>
    </row>
    <row r="32" spans="1:3" x14ac:dyDescent="0.25">
      <c r="A32" s="61" t="s">
        <v>265</v>
      </c>
      <c r="B32" s="62" t="s">
        <v>266</v>
      </c>
      <c r="C32" s="63">
        <v>84.6</v>
      </c>
    </row>
    <row r="33" spans="1:3" x14ac:dyDescent="0.25">
      <c r="A33" s="61" t="s">
        <v>267</v>
      </c>
      <c r="B33" s="62" t="s">
        <v>268</v>
      </c>
      <c r="C33" s="63">
        <v>82.85</v>
      </c>
    </row>
    <row r="34" spans="1:3" x14ac:dyDescent="0.25">
      <c r="A34" s="61" t="s">
        <v>293</v>
      </c>
      <c r="B34" s="62" t="s">
        <v>294</v>
      </c>
      <c r="C34" s="63">
        <v>77.7</v>
      </c>
    </row>
    <row r="35" spans="1:3" x14ac:dyDescent="0.25">
      <c r="A35" s="61" t="s">
        <v>269</v>
      </c>
      <c r="B35" s="62" t="s">
        <v>270</v>
      </c>
      <c r="C35" s="63">
        <v>72.150000000000006</v>
      </c>
    </row>
    <row r="36" spans="1:3" x14ac:dyDescent="0.25">
      <c r="A36" s="61" t="s">
        <v>271</v>
      </c>
      <c r="B36" s="62" t="s">
        <v>272</v>
      </c>
      <c r="C36" s="63">
        <v>79.14</v>
      </c>
    </row>
    <row r="37" spans="1:3" x14ac:dyDescent="0.25">
      <c r="A37" s="61" t="s">
        <v>295</v>
      </c>
      <c r="B37" s="62" t="s">
        <v>296</v>
      </c>
      <c r="C37" s="63">
        <v>67.650000000000006</v>
      </c>
    </row>
    <row r="38" spans="1:3" x14ac:dyDescent="0.25">
      <c r="A38" s="61" t="s">
        <v>273</v>
      </c>
      <c r="B38" s="62" t="s">
        <v>274</v>
      </c>
      <c r="C38" s="63">
        <v>83.69</v>
      </c>
    </row>
    <row r="39" spans="1:3" x14ac:dyDescent="0.25">
      <c r="A39" s="61" t="s">
        <v>275</v>
      </c>
      <c r="B39" s="62" t="s">
        <v>276</v>
      </c>
      <c r="C39" s="63">
        <v>89.46</v>
      </c>
    </row>
    <row r="40" spans="1:3" x14ac:dyDescent="0.25">
      <c r="A40" s="61" t="s">
        <v>277</v>
      </c>
      <c r="B40" s="62" t="s">
        <v>278</v>
      </c>
      <c r="C40" s="63">
        <v>86.58</v>
      </c>
    </row>
    <row r="41" spans="1:3" x14ac:dyDescent="0.25">
      <c r="A41" s="61" t="s">
        <v>279</v>
      </c>
      <c r="B41" s="62" t="s">
        <v>280</v>
      </c>
      <c r="C41" s="63">
        <v>60.9</v>
      </c>
    </row>
    <row r="42" spans="1:3" x14ac:dyDescent="0.25">
      <c r="A42" s="61" t="s">
        <v>281</v>
      </c>
      <c r="B42" s="62" t="s">
        <v>282</v>
      </c>
      <c r="C42" s="63">
        <v>106.5</v>
      </c>
    </row>
    <row r="43" spans="1:3" x14ac:dyDescent="0.25">
      <c r="A43" s="61" t="s">
        <v>283</v>
      </c>
      <c r="B43" s="62" t="s">
        <v>284</v>
      </c>
      <c r="C43" s="63">
        <v>93.24</v>
      </c>
    </row>
    <row r="44" spans="1:3" x14ac:dyDescent="0.25">
      <c r="A44" s="61" t="s">
        <v>285</v>
      </c>
      <c r="B44" s="62" t="s">
        <v>286</v>
      </c>
      <c r="C44" s="63">
        <v>45</v>
      </c>
    </row>
    <row r="45" spans="1:3" x14ac:dyDescent="0.25">
      <c r="A45" s="61" t="s">
        <v>287</v>
      </c>
      <c r="B45" s="62" t="s">
        <v>288</v>
      </c>
      <c r="C45" s="63">
        <v>55</v>
      </c>
    </row>
    <row r="46" spans="1:3" x14ac:dyDescent="0.25">
      <c r="A46" s="61" t="s">
        <v>289</v>
      </c>
      <c r="B46" s="62" t="s">
        <v>290</v>
      </c>
      <c r="C46" s="63">
        <v>59.75</v>
      </c>
    </row>
    <row r="47" spans="1:3" x14ac:dyDescent="0.25">
      <c r="A47" s="61">
        <v>15681</v>
      </c>
      <c r="B47" s="62" t="s">
        <v>455</v>
      </c>
      <c r="C47" s="63">
        <v>65.83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topLeftCell="A25" workbookViewId="0">
      <selection activeCell="A36" sqref="A36"/>
    </sheetView>
  </sheetViews>
  <sheetFormatPr defaultRowHeight="15" x14ac:dyDescent="0.25"/>
  <cols>
    <col min="1" max="1" width="9.42578125" bestFit="1" customWidth="1"/>
    <col min="2" max="2" width="52.42578125" bestFit="1" customWidth="1"/>
    <col min="3" max="3" width="11.5703125" customWidth="1"/>
  </cols>
  <sheetData>
    <row r="1" spans="1:3" x14ac:dyDescent="0.25">
      <c r="A1" s="61" t="s">
        <v>82</v>
      </c>
      <c r="B1" s="62" t="s">
        <v>83</v>
      </c>
      <c r="C1" s="63" t="s">
        <v>84</v>
      </c>
    </row>
    <row r="2" spans="1:3" x14ac:dyDescent="0.25">
      <c r="A2" s="61" t="s">
        <v>297</v>
      </c>
      <c r="B2" s="62" t="s">
        <v>341</v>
      </c>
      <c r="C2" s="63">
        <v>48.1</v>
      </c>
    </row>
    <row r="3" spans="1:3" x14ac:dyDescent="0.25">
      <c r="A3" s="61" t="s">
        <v>298</v>
      </c>
      <c r="B3" s="62" t="s">
        <v>342</v>
      </c>
      <c r="C3" s="63">
        <v>50.4</v>
      </c>
    </row>
    <row r="4" spans="1:3" x14ac:dyDescent="0.25">
      <c r="A4" s="61" t="s">
        <v>299</v>
      </c>
      <c r="B4" s="62" t="s">
        <v>343</v>
      </c>
      <c r="C4" s="63">
        <v>55.9</v>
      </c>
    </row>
    <row r="5" spans="1:3" x14ac:dyDescent="0.25">
      <c r="A5" s="61" t="s">
        <v>300</v>
      </c>
      <c r="B5" s="62" t="s">
        <v>344</v>
      </c>
      <c r="C5" s="63">
        <v>28.98</v>
      </c>
    </row>
    <row r="6" spans="1:3" x14ac:dyDescent="0.25">
      <c r="A6" s="61" t="s">
        <v>301</v>
      </c>
      <c r="B6" s="62" t="s">
        <v>345</v>
      </c>
      <c r="C6" s="63">
        <v>44.25</v>
      </c>
    </row>
    <row r="7" spans="1:3" x14ac:dyDescent="0.25">
      <c r="A7" s="61" t="s">
        <v>302</v>
      </c>
      <c r="B7" s="62" t="s">
        <v>346</v>
      </c>
      <c r="C7" s="63">
        <v>39.637500000000003</v>
      </c>
    </row>
    <row r="8" spans="1:3" x14ac:dyDescent="0.25">
      <c r="A8" s="61" t="s">
        <v>303</v>
      </c>
      <c r="B8" s="62" t="s">
        <v>347</v>
      </c>
      <c r="C8" s="63">
        <v>31.5</v>
      </c>
    </row>
    <row r="9" spans="1:3" x14ac:dyDescent="0.25">
      <c r="A9" s="61" t="s">
        <v>304</v>
      </c>
      <c r="B9" s="62" t="s">
        <v>348</v>
      </c>
      <c r="C9" s="63">
        <v>36.75</v>
      </c>
    </row>
    <row r="10" spans="1:3" x14ac:dyDescent="0.25">
      <c r="A10" s="61" t="s">
        <v>305</v>
      </c>
      <c r="B10" s="62" t="s">
        <v>349</v>
      </c>
      <c r="C10" s="63">
        <v>33.799999999999997</v>
      </c>
    </row>
    <row r="11" spans="1:3" x14ac:dyDescent="0.25">
      <c r="A11" s="61" t="s">
        <v>306</v>
      </c>
      <c r="B11" s="62" t="s">
        <v>350</v>
      </c>
      <c r="C11" s="63">
        <v>33.700000000000003</v>
      </c>
    </row>
    <row r="12" spans="1:3" x14ac:dyDescent="0.25">
      <c r="A12" s="61" t="s">
        <v>307</v>
      </c>
      <c r="B12" s="62" t="s">
        <v>351</v>
      </c>
      <c r="C12" s="63">
        <v>35.75</v>
      </c>
    </row>
    <row r="13" spans="1:3" x14ac:dyDescent="0.25">
      <c r="A13" s="61" t="s">
        <v>308</v>
      </c>
      <c r="B13" s="62" t="s">
        <v>352</v>
      </c>
      <c r="C13" s="63">
        <v>44.4</v>
      </c>
    </row>
    <row r="14" spans="1:3" x14ac:dyDescent="0.25">
      <c r="A14" s="61" t="s">
        <v>309</v>
      </c>
      <c r="B14" s="62" t="s">
        <v>353</v>
      </c>
      <c r="C14" s="63">
        <v>35</v>
      </c>
    </row>
    <row r="15" spans="1:3" x14ac:dyDescent="0.25">
      <c r="A15" s="61" t="s">
        <v>310</v>
      </c>
      <c r="B15" s="62" t="s">
        <v>354</v>
      </c>
      <c r="C15" s="63">
        <v>41.5</v>
      </c>
    </row>
    <row r="16" spans="1:3" x14ac:dyDescent="0.25">
      <c r="A16" s="61" t="s">
        <v>311</v>
      </c>
      <c r="B16" s="62" t="s">
        <v>355</v>
      </c>
      <c r="C16" s="63">
        <v>31.5</v>
      </c>
    </row>
    <row r="17" spans="1:3" x14ac:dyDescent="0.25">
      <c r="A17" s="61" t="s">
        <v>312</v>
      </c>
      <c r="B17" s="62" t="s">
        <v>356</v>
      </c>
      <c r="C17" s="63">
        <v>31.5</v>
      </c>
    </row>
    <row r="18" spans="1:3" x14ac:dyDescent="0.25">
      <c r="A18" s="61" t="s">
        <v>313</v>
      </c>
      <c r="B18" s="62" t="s">
        <v>357</v>
      </c>
      <c r="C18" s="63">
        <v>37.799999999999997</v>
      </c>
    </row>
    <row r="19" spans="1:3" x14ac:dyDescent="0.25">
      <c r="A19" s="61" t="s">
        <v>314</v>
      </c>
      <c r="B19" s="62" t="s">
        <v>358</v>
      </c>
      <c r="C19" s="63">
        <v>40.950000000000003</v>
      </c>
    </row>
    <row r="20" spans="1:3" x14ac:dyDescent="0.25">
      <c r="A20" s="61" t="s">
        <v>315</v>
      </c>
      <c r="B20" s="62" t="s">
        <v>359</v>
      </c>
      <c r="C20" s="63">
        <v>37.799999999999997</v>
      </c>
    </row>
    <row r="21" spans="1:3" x14ac:dyDescent="0.25">
      <c r="A21" s="61" t="s">
        <v>316</v>
      </c>
      <c r="B21" s="62" t="s">
        <v>360</v>
      </c>
      <c r="C21" s="63">
        <v>29.6</v>
      </c>
    </row>
    <row r="22" spans="1:3" x14ac:dyDescent="0.25">
      <c r="A22" s="61" t="s">
        <v>317</v>
      </c>
      <c r="B22" s="62" t="s">
        <v>361</v>
      </c>
      <c r="C22" s="63">
        <v>32</v>
      </c>
    </row>
    <row r="23" spans="1:3" x14ac:dyDescent="0.25">
      <c r="A23" s="61" t="s">
        <v>318</v>
      </c>
      <c r="B23" s="62" t="s">
        <v>362</v>
      </c>
      <c r="C23" s="63">
        <v>27</v>
      </c>
    </row>
    <row r="24" spans="1:3" x14ac:dyDescent="0.25">
      <c r="A24" s="61" t="s">
        <v>319</v>
      </c>
      <c r="B24" s="62" t="s">
        <v>363</v>
      </c>
      <c r="C24" s="63">
        <v>29.5</v>
      </c>
    </row>
    <row r="25" spans="1:3" x14ac:dyDescent="0.25">
      <c r="A25" s="61" t="s">
        <v>320</v>
      </c>
      <c r="B25" s="62" t="s">
        <v>364</v>
      </c>
      <c r="C25" s="63">
        <v>28.5</v>
      </c>
    </row>
    <row r="26" spans="1:3" x14ac:dyDescent="0.25">
      <c r="A26" s="61" t="s">
        <v>321</v>
      </c>
      <c r="B26" s="62" t="s">
        <v>365</v>
      </c>
      <c r="C26" s="63">
        <v>28.35</v>
      </c>
    </row>
    <row r="27" spans="1:3" x14ac:dyDescent="0.25">
      <c r="A27" s="61" t="s">
        <v>322</v>
      </c>
      <c r="B27" s="62" t="s">
        <v>366</v>
      </c>
      <c r="C27" s="63">
        <v>36.85</v>
      </c>
    </row>
    <row r="28" spans="1:3" x14ac:dyDescent="0.25">
      <c r="A28" s="61" t="s">
        <v>323</v>
      </c>
      <c r="B28" s="62" t="s">
        <v>367</v>
      </c>
      <c r="C28" s="63">
        <v>31.4</v>
      </c>
    </row>
    <row r="29" spans="1:3" x14ac:dyDescent="0.25">
      <c r="A29" s="61" t="s">
        <v>324</v>
      </c>
      <c r="B29" s="62" t="s">
        <v>368</v>
      </c>
      <c r="C29" s="63">
        <v>42.25</v>
      </c>
    </row>
    <row r="30" spans="1:3" x14ac:dyDescent="0.25">
      <c r="A30" s="61" t="s">
        <v>325</v>
      </c>
      <c r="B30" s="62" t="s">
        <v>369</v>
      </c>
      <c r="C30" s="63">
        <v>30.5</v>
      </c>
    </row>
    <row r="31" spans="1:3" x14ac:dyDescent="0.25">
      <c r="A31" s="61" t="s">
        <v>326</v>
      </c>
      <c r="B31" s="62" t="s">
        <v>370</v>
      </c>
      <c r="C31" s="63">
        <v>30.1</v>
      </c>
    </row>
    <row r="32" spans="1:3" x14ac:dyDescent="0.25">
      <c r="A32" s="61" t="s">
        <v>327</v>
      </c>
      <c r="B32" s="62" t="s">
        <v>371</v>
      </c>
      <c r="C32" s="63">
        <v>31.8</v>
      </c>
    </row>
    <row r="33" spans="1:3" x14ac:dyDescent="0.25">
      <c r="A33" s="61" t="s">
        <v>328</v>
      </c>
      <c r="B33" s="62" t="s">
        <v>372</v>
      </c>
      <c r="C33" s="63">
        <v>38.1</v>
      </c>
    </row>
    <row r="34" spans="1:3" x14ac:dyDescent="0.25">
      <c r="A34" s="61" t="s">
        <v>329</v>
      </c>
      <c r="B34" s="62" t="s">
        <v>373</v>
      </c>
      <c r="C34" s="63">
        <v>31.8</v>
      </c>
    </row>
    <row r="35" spans="1:3" x14ac:dyDescent="0.25">
      <c r="A35" s="61" t="s">
        <v>330</v>
      </c>
      <c r="B35" s="62" t="s">
        <v>374</v>
      </c>
      <c r="C35" s="63">
        <v>26.7</v>
      </c>
    </row>
    <row r="36" spans="1:3" x14ac:dyDescent="0.25">
      <c r="A36" s="61" t="s">
        <v>331</v>
      </c>
      <c r="B36" s="62" t="s">
        <v>375</v>
      </c>
      <c r="C36" s="63">
        <v>25.6</v>
      </c>
    </row>
    <row r="37" spans="1:3" x14ac:dyDescent="0.25">
      <c r="A37" s="61" t="s">
        <v>332</v>
      </c>
      <c r="B37" s="62" t="s">
        <v>376</v>
      </c>
      <c r="C37" s="63">
        <v>25.7</v>
      </c>
    </row>
    <row r="38" spans="1:3" x14ac:dyDescent="0.25">
      <c r="A38" s="61" t="s">
        <v>333</v>
      </c>
      <c r="B38" s="62" t="s">
        <v>377</v>
      </c>
      <c r="C38" s="63">
        <v>33.799999999999997</v>
      </c>
    </row>
    <row r="39" spans="1:3" x14ac:dyDescent="0.25">
      <c r="A39" s="61" t="s">
        <v>334</v>
      </c>
      <c r="B39" s="62" t="s">
        <v>378</v>
      </c>
      <c r="C39" s="63">
        <v>37.5</v>
      </c>
    </row>
    <row r="40" spans="1:3" x14ac:dyDescent="0.25">
      <c r="A40" s="61" t="s">
        <v>335</v>
      </c>
      <c r="B40" s="62" t="s">
        <v>379</v>
      </c>
      <c r="C40" s="63">
        <v>32.75</v>
      </c>
    </row>
    <row r="41" spans="1:3" x14ac:dyDescent="0.25">
      <c r="A41" s="61" t="s">
        <v>336</v>
      </c>
      <c r="B41" s="62" t="s">
        <v>380</v>
      </c>
      <c r="C41" s="63">
        <v>26.45</v>
      </c>
    </row>
    <row r="42" spans="1:3" x14ac:dyDescent="0.25">
      <c r="A42" s="61" t="s">
        <v>337</v>
      </c>
      <c r="B42" s="62" t="s">
        <v>381</v>
      </c>
      <c r="C42" s="63">
        <v>24.9</v>
      </c>
    </row>
    <row r="43" spans="1:3" x14ac:dyDescent="0.25">
      <c r="A43" s="61" t="s">
        <v>338</v>
      </c>
      <c r="B43" s="62" t="s">
        <v>382</v>
      </c>
      <c r="C43" s="63">
        <v>33.85</v>
      </c>
    </row>
    <row r="44" spans="1:3" x14ac:dyDescent="0.25">
      <c r="A44" s="61" t="s">
        <v>339</v>
      </c>
      <c r="B44" s="62" t="s">
        <v>383</v>
      </c>
      <c r="C44" s="63">
        <v>28.5</v>
      </c>
    </row>
    <row r="45" spans="1:3" x14ac:dyDescent="0.25">
      <c r="A45" s="61" t="s">
        <v>340</v>
      </c>
      <c r="B45" s="62" t="s">
        <v>384</v>
      </c>
      <c r="C45" s="63">
        <v>33.85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selection activeCell="B11" sqref="B11"/>
    </sheetView>
  </sheetViews>
  <sheetFormatPr defaultRowHeight="15" x14ac:dyDescent="0.25"/>
  <cols>
    <col min="1" max="1" width="9.42578125" bestFit="1" customWidth="1"/>
    <col min="2" max="2" width="30.7109375" bestFit="1" customWidth="1"/>
    <col min="3" max="3" width="11.85546875" customWidth="1"/>
    <col min="4" max="4" width="14.42578125" bestFit="1" customWidth="1"/>
    <col min="5" max="6" width="10.28515625" bestFit="1" customWidth="1"/>
  </cols>
  <sheetData>
    <row r="1" spans="1:6" x14ac:dyDescent="0.25">
      <c r="A1" s="61" t="s">
        <v>82</v>
      </c>
      <c r="B1" s="62" t="s">
        <v>83</v>
      </c>
      <c r="C1" s="63" t="s">
        <v>84</v>
      </c>
      <c r="D1" s="62" t="s">
        <v>85</v>
      </c>
      <c r="E1" s="62" t="s">
        <v>86</v>
      </c>
      <c r="F1" s="64" t="s">
        <v>5</v>
      </c>
    </row>
    <row r="2" spans="1:6" x14ac:dyDescent="0.25">
      <c r="A2" s="61">
        <v>3191</v>
      </c>
      <c r="B2" s="62" t="s">
        <v>36</v>
      </c>
      <c r="C2" s="63">
        <v>33.6</v>
      </c>
      <c r="D2" s="62" t="s">
        <v>75</v>
      </c>
      <c r="E2" s="62" t="s">
        <v>14</v>
      </c>
      <c r="F2" s="64">
        <v>1901</v>
      </c>
    </row>
    <row r="3" spans="1:6" x14ac:dyDescent="0.25">
      <c r="A3" s="61">
        <v>4056</v>
      </c>
      <c r="B3" s="62" t="s">
        <v>37</v>
      </c>
      <c r="C3" s="63">
        <v>31.08</v>
      </c>
      <c r="D3" s="62" t="s">
        <v>78</v>
      </c>
      <c r="E3" s="62" t="s">
        <v>14</v>
      </c>
      <c r="F3" s="64">
        <v>1901</v>
      </c>
    </row>
    <row r="4" spans="1:6" x14ac:dyDescent="0.25">
      <c r="A4" s="61">
        <v>3193</v>
      </c>
      <c r="B4" s="62" t="s">
        <v>38</v>
      </c>
      <c r="C4" s="63">
        <v>47.25</v>
      </c>
      <c r="D4" s="62" t="s">
        <v>76</v>
      </c>
      <c r="E4" s="62" t="s">
        <v>14</v>
      </c>
      <c r="F4" s="64">
        <v>1901</v>
      </c>
    </row>
    <row r="5" spans="1:6" x14ac:dyDescent="0.25">
      <c r="A5" s="61">
        <v>4057</v>
      </c>
      <c r="B5" s="62" t="s">
        <v>39</v>
      </c>
      <c r="C5" s="63">
        <v>31.08</v>
      </c>
      <c r="D5" s="62" t="s">
        <v>77</v>
      </c>
      <c r="E5" s="62" t="s">
        <v>14</v>
      </c>
      <c r="F5" s="64">
        <v>1901</v>
      </c>
    </row>
    <row r="6" spans="1:6" x14ac:dyDescent="0.25">
      <c r="A6" s="61">
        <v>3189</v>
      </c>
      <c r="B6" s="62" t="s">
        <v>40</v>
      </c>
      <c r="C6" s="63">
        <v>31.5</v>
      </c>
      <c r="D6" s="62" t="s">
        <v>75</v>
      </c>
      <c r="E6" s="62" t="s">
        <v>14</v>
      </c>
      <c r="F6" s="64">
        <v>1902</v>
      </c>
    </row>
    <row r="7" spans="1:6" x14ac:dyDescent="0.25">
      <c r="A7" s="61">
        <v>4061</v>
      </c>
      <c r="B7" s="62" t="s">
        <v>41</v>
      </c>
      <c r="C7" s="63">
        <v>31.5</v>
      </c>
      <c r="D7" s="62" t="s">
        <v>78</v>
      </c>
      <c r="E7" s="62" t="s">
        <v>14</v>
      </c>
      <c r="F7" s="64">
        <v>1902</v>
      </c>
    </row>
    <row r="8" spans="1:6" x14ac:dyDescent="0.25">
      <c r="A8" s="61">
        <v>3190</v>
      </c>
      <c r="B8" s="62" t="s">
        <v>42</v>
      </c>
      <c r="C8" s="63">
        <v>36.75</v>
      </c>
      <c r="D8" s="62" t="s">
        <v>76</v>
      </c>
      <c r="E8" s="62" t="s">
        <v>14</v>
      </c>
      <c r="F8" s="64">
        <v>1902</v>
      </c>
    </row>
    <row r="9" spans="1:6" x14ac:dyDescent="0.25">
      <c r="A9" s="61">
        <v>4069</v>
      </c>
      <c r="B9" s="62" t="s">
        <v>43</v>
      </c>
      <c r="C9" s="63">
        <v>31.5</v>
      </c>
      <c r="D9" s="62" t="s">
        <v>77</v>
      </c>
      <c r="E9" s="62" t="s">
        <v>14</v>
      </c>
      <c r="F9" s="64">
        <v>1902</v>
      </c>
    </row>
    <row r="10" spans="1:6" x14ac:dyDescent="0.25">
      <c r="A10" s="61">
        <v>17889</v>
      </c>
      <c r="B10" s="62" t="s">
        <v>472</v>
      </c>
      <c r="C10" s="63">
        <v>55.3</v>
      </c>
      <c r="D10" s="62" t="s">
        <v>75</v>
      </c>
      <c r="E10" s="62" t="s">
        <v>14</v>
      </c>
      <c r="F10" s="64">
        <v>2004</v>
      </c>
    </row>
    <row r="11" spans="1:6" x14ac:dyDescent="0.25">
      <c r="A11" s="61">
        <v>7486</v>
      </c>
      <c r="B11" s="62" t="s">
        <v>44</v>
      </c>
      <c r="C11" s="63">
        <v>38.0625</v>
      </c>
      <c r="D11" s="62" t="s">
        <v>75</v>
      </c>
      <c r="E11" s="62" t="s">
        <v>14</v>
      </c>
      <c r="F11" s="64">
        <v>2003</v>
      </c>
    </row>
    <row r="12" spans="1:6" x14ac:dyDescent="0.25">
      <c r="A12" s="61">
        <v>4070</v>
      </c>
      <c r="B12" s="62" t="s">
        <v>45</v>
      </c>
      <c r="C12" s="63">
        <v>42</v>
      </c>
      <c r="D12" s="62" t="s">
        <v>78</v>
      </c>
      <c r="E12" s="62" t="s">
        <v>14</v>
      </c>
      <c r="F12" s="64">
        <v>2003</v>
      </c>
    </row>
    <row r="13" spans="1:6" x14ac:dyDescent="0.25">
      <c r="A13" s="61">
        <v>15948</v>
      </c>
      <c r="B13" s="62" t="s">
        <v>112</v>
      </c>
      <c r="C13" s="63">
        <v>47.9</v>
      </c>
      <c r="D13" s="62" t="s">
        <v>111</v>
      </c>
      <c r="E13" s="62" t="s">
        <v>14</v>
      </c>
      <c r="F13" s="64">
        <v>2003</v>
      </c>
    </row>
    <row r="14" spans="1:6" x14ac:dyDescent="0.25">
      <c r="A14" s="61">
        <v>1802</v>
      </c>
      <c r="B14" s="62" t="s">
        <v>46</v>
      </c>
      <c r="C14" s="63">
        <v>45.85</v>
      </c>
      <c r="D14" s="62" t="s">
        <v>76</v>
      </c>
      <c r="E14" s="62" t="s">
        <v>14</v>
      </c>
      <c r="F14" s="64">
        <v>2003</v>
      </c>
    </row>
    <row r="15" spans="1:6" x14ac:dyDescent="0.25">
      <c r="A15" s="61">
        <v>10861</v>
      </c>
      <c r="B15" s="62" t="s">
        <v>47</v>
      </c>
      <c r="C15" s="63">
        <v>17.9025</v>
      </c>
      <c r="D15" s="62" t="s">
        <v>80</v>
      </c>
      <c r="E15" s="62" t="s">
        <v>14</v>
      </c>
      <c r="F15" s="64">
        <v>2003</v>
      </c>
    </row>
    <row r="16" spans="1:6" x14ac:dyDescent="0.25">
      <c r="A16" s="61">
        <v>4071</v>
      </c>
      <c r="B16" s="62" t="s">
        <v>48</v>
      </c>
      <c r="C16" s="63">
        <v>42</v>
      </c>
      <c r="D16" s="62" t="s">
        <v>77</v>
      </c>
      <c r="E16" s="62" t="s">
        <v>14</v>
      </c>
      <c r="F16" s="64">
        <v>2003</v>
      </c>
    </row>
    <row r="17" spans="1:6" x14ac:dyDescent="0.25">
      <c r="A17" s="61">
        <v>6033</v>
      </c>
      <c r="B17" s="62" t="s">
        <v>49</v>
      </c>
      <c r="C17" s="63">
        <v>32.340000000000003</v>
      </c>
      <c r="D17" s="62" t="s">
        <v>75</v>
      </c>
      <c r="E17" s="62" t="s">
        <v>14</v>
      </c>
      <c r="F17" s="64">
        <v>2004</v>
      </c>
    </row>
    <row r="18" spans="1:6" x14ac:dyDescent="0.25">
      <c r="A18" s="61">
        <v>15416</v>
      </c>
      <c r="B18" s="62" t="s">
        <v>59</v>
      </c>
      <c r="C18" s="63">
        <v>28.63</v>
      </c>
      <c r="D18" s="62" t="s">
        <v>78</v>
      </c>
      <c r="E18" s="62" t="s">
        <v>14</v>
      </c>
      <c r="F18" s="64">
        <v>2003</v>
      </c>
    </row>
    <row r="19" spans="1:6" x14ac:dyDescent="0.25">
      <c r="A19" s="61">
        <v>12514</v>
      </c>
      <c r="B19" s="62" t="s">
        <v>50</v>
      </c>
      <c r="C19" s="63">
        <v>20.04</v>
      </c>
      <c r="D19" s="62" t="s">
        <v>79</v>
      </c>
      <c r="E19" s="62" t="s">
        <v>14</v>
      </c>
      <c r="F19" s="64">
        <v>2003</v>
      </c>
    </row>
    <row r="20" spans="1:6" x14ac:dyDescent="0.25">
      <c r="A20" s="61">
        <v>14009</v>
      </c>
      <c r="B20" s="62" t="s">
        <v>51</v>
      </c>
      <c r="C20" s="63">
        <v>21.67</v>
      </c>
      <c r="D20" s="62" t="s">
        <v>81</v>
      </c>
      <c r="E20" s="62" t="s">
        <v>14</v>
      </c>
      <c r="F20" s="64">
        <v>2003</v>
      </c>
    </row>
    <row r="21" spans="1:6" x14ac:dyDescent="0.25">
      <c r="A21" s="61">
        <v>13994</v>
      </c>
      <c r="B21" s="62" t="s">
        <v>52</v>
      </c>
      <c r="C21" s="63">
        <v>31.52</v>
      </c>
      <c r="D21" s="62" t="s">
        <v>77</v>
      </c>
      <c r="E21" s="62" t="s">
        <v>14</v>
      </c>
      <c r="F21" s="64">
        <v>2003</v>
      </c>
    </row>
    <row r="22" spans="1:6" x14ac:dyDescent="0.25">
      <c r="A22" s="61">
        <v>5115</v>
      </c>
      <c r="B22" s="62" t="s">
        <v>53</v>
      </c>
      <c r="C22" s="63">
        <v>28</v>
      </c>
      <c r="D22" s="62" t="s">
        <v>75</v>
      </c>
      <c r="E22" s="62" t="s">
        <v>14</v>
      </c>
      <c r="F22" s="64">
        <v>3618</v>
      </c>
    </row>
    <row r="23" spans="1:6" x14ac:dyDescent="0.25">
      <c r="A23" s="61">
        <v>12612</v>
      </c>
      <c r="B23" s="62" t="s">
        <v>54</v>
      </c>
      <c r="C23" s="63">
        <v>33.442500000000003</v>
      </c>
      <c r="D23" s="62" t="s">
        <v>78</v>
      </c>
      <c r="E23" s="62" t="s">
        <v>14</v>
      </c>
      <c r="F23" s="64">
        <v>3618</v>
      </c>
    </row>
    <row r="24" spans="1:6" x14ac:dyDescent="0.25">
      <c r="A24" s="61">
        <v>11594</v>
      </c>
      <c r="B24" s="62" t="s">
        <v>55</v>
      </c>
      <c r="C24" s="63">
        <v>36.799999999999997</v>
      </c>
      <c r="D24" s="62" t="s">
        <v>76</v>
      </c>
      <c r="E24" s="62" t="s">
        <v>14</v>
      </c>
      <c r="F24" s="64">
        <v>3618</v>
      </c>
    </row>
    <row r="25" spans="1:6" x14ac:dyDescent="0.25">
      <c r="A25" s="61">
        <v>12611</v>
      </c>
      <c r="B25" s="62" t="s">
        <v>56</v>
      </c>
      <c r="C25" s="63">
        <v>33.5</v>
      </c>
      <c r="D25" s="62" t="s">
        <v>77</v>
      </c>
      <c r="E25" s="62" t="s">
        <v>14</v>
      </c>
      <c r="F25" s="64">
        <v>3618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selection activeCell="A3" sqref="A3"/>
    </sheetView>
  </sheetViews>
  <sheetFormatPr defaultRowHeight="15" x14ac:dyDescent="0.25"/>
  <cols>
    <col min="1" max="1" width="9.42578125" bestFit="1" customWidth="1"/>
    <col min="2" max="2" width="45.28515625" bestFit="1" customWidth="1"/>
    <col min="3" max="3" width="12" customWidth="1"/>
    <col min="4" max="4" width="14.42578125" bestFit="1" customWidth="1"/>
    <col min="5" max="5" width="23.85546875" bestFit="1" customWidth="1"/>
    <col min="6" max="6" width="10.28515625" bestFit="1" customWidth="1"/>
  </cols>
  <sheetData>
    <row r="1" spans="1:3" x14ac:dyDescent="0.25">
      <c r="A1" s="61" t="s">
        <v>82</v>
      </c>
      <c r="B1" s="62" t="s">
        <v>83</v>
      </c>
      <c r="C1" s="63" t="s">
        <v>84</v>
      </c>
    </row>
    <row r="2" spans="1:3" x14ac:dyDescent="0.25">
      <c r="A2" s="61" t="s">
        <v>421</v>
      </c>
      <c r="B2" s="62" t="s">
        <v>422</v>
      </c>
      <c r="C2" s="63">
        <v>82.4</v>
      </c>
    </row>
    <row r="3" spans="1:3" x14ac:dyDescent="0.25">
      <c r="A3" s="61" t="s">
        <v>423</v>
      </c>
      <c r="B3" s="62" t="s">
        <v>424</v>
      </c>
      <c r="C3" s="63">
        <v>109</v>
      </c>
    </row>
    <row r="4" spans="1:3" x14ac:dyDescent="0.25">
      <c r="A4" s="61" t="s">
        <v>425</v>
      </c>
      <c r="B4" s="62" t="s">
        <v>426</v>
      </c>
      <c r="C4" s="63">
        <v>96.3</v>
      </c>
    </row>
    <row r="5" spans="1:3" x14ac:dyDescent="0.25">
      <c r="A5" s="61" t="s">
        <v>427</v>
      </c>
      <c r="B5" s="62" t="s">
        <v>87</v>
      </c>
      <c r="C5" s="63">
        <v>57.8</v>
      </c>
    </row>
    <row r="6" spans="1:3" x14ac:dyDescent="0.25">
      <c r="A6" s="61" t="s">
        <v>428</v>
      </c>
      <c r="B6" s="62" t="s">
        <v>19</v>
      </c>
      <c r="C6" s="63">
        <v>77</v>
      </c>
    </row>
    <row r="7" spans="1:3" x14ac:dyDescent="0.25">
      <c r="A7" s="61" t="s">
        <v>429</v>
      </c>
      <c r="B7" s="62" t="s">
        <v>88</v>
      </c>
      <c r="C7" s="63">
        <v>62</v>
      </c>
    </row>
    <row r="8" spans="1:3" x14ac:dyDescent="0.25">
      <c r="A8" s="61" t="s">
        <v>430</v>
      </c>
      <c r="B8" s="62" t="s">
        <v>431</v>
      </c>
      <c r="C8" s="63">
        <v>61.85</v>
      </c>
    </row>
    <row r="9" spans="1:3" x14ac:dyDescent="0.25">
      <c r="A9" s="61" t="s">
        <v>432</v>
      </c>
      <c r="B9" s="62" t="s">
        <v>20</v>
      </c>
      <c r="C9" s="63">
        <v>114.2</v>
      </c>
    </row>
    <row r="10" spans="1:3" x14ac:dyDescent="0.25">
      <c r="A10" s="61" t="s">
        <v>433</v>
      </c>
      <c r="B10" s="62" t="s">
        <v>434</v>
      </c>
      <c r="C10" s="63">
        <v>113.7</v>
      </c>
    </row>
    <row r="11" spans="1:3" x14ac:dyDescent="0.25">
      <c r="A11" s="61" t="s">
        <v>435</v>
      </c>
      <c r="B11" s="62" t="s">
        <v>436</v>
      </c>
      <c r="C11" s="63">
        <v>74.599999999999994</v>
      </c>
    </row>
    <row r="12" spans="1:3" x14ac:dyDescent="0.25">
      <c r="A12" s="61" t="s">
        <v>437</v>
      </c>
      <c r="B12" s="62" t="s">
        <v>438</v>
      </c>
      <c r="C12" s="63">
        <v>84.9</v>
      </c>
    </row>
    <row r="13" spans="1:3" x14ac:dyDescent="0.25">
      <c r="A13" s="61" t="s">
        <v>439</v>
      </c>
      <c r="B13" s="62" t="s">
        <v>21</v>
      </c>
      <c r="C13" s="63">
        <v>86.75</v>
      </c>
    </row>
    <row r="14" spans="1:3" x14ac:dyDescent="0.25">
      <c r="A14" s="61" t="s">
        <v>440</v>
      </c>
      <c r="B14" s="62" t="s">
        <v>89</v>
      </c>
      <c r="C14" s="63">
        <v>66.599999999999994</v>
      </c>
    </row>
    <row r="15" spans="1:3" x14ac:dyDescent="0.25">
      <c r="A15" s="61" t="s">
        <v>441</v>
      </c>
      <c r="B15" s="62" t="s">
        <v>442</v>
      </c>
      <c r="C15" s="63">
        <v>37.6</v>
      </c>
    </row>
    <row r="16" spans="1:3" x14ac:dyDescent="0.25">
      <c r="A16" s="61" t="s">
        <v>443</v>
      </c>
      <c r="B16" s="62" t="s">
        <v>444</v>
      </c>
      <c r="C16" s="63">
        <v>47.8</v>
      </c>
    </row>
    <row r="17" spans="1:3" x14ac:dyDescent="0.25">
      <c r="A17" s="61" t="s">
        <v>445</v>
      </c>
      <c r="B17" s="62" t="s">
        <v>22</v>
      </c>
      <c r="C17" s="63">
        <v>27.5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topLeftCell="A22" workbookViewId="0">
      <selection activeCell="B10" sqref="B10"/>
    </sheetView>
  </sheetViews>
  <sheetFormatPr defaultRowHeight="15" x14ac:dyDescent="0.25"/>
  <cols>
    <col min="1" max="1" width="9.42578125" bestFit="1" customWidth="1"/>
    <col min="2" max="2" width="59.42578125" bestFit="1" customWidth="1"/>
    <col min="3" max="3" width="17.5703125" customWidth="1"/>
  </cols>
  <sheetData>
    <row r="1" spans="1:3" x14ac:dyDescent="0.25">
      <c r="A1" s="61" t="s">
        <v>82</v>
      </c>
      <c r="B1" s="62" t="s">
        <v>83</v>
      </c>
      <c r="C1" s="63" t="s">
        <v>84</v>
      </c>
    </row>
    <row r="2" spans="1:3" x14ac:dyDescent="0.25">
      <c r="A2" s="61" t="s">
        <v>385</v>
      </c>
      <c r="B2" s="62" t="s">
        <v>90</v>
      </c>
      <c r="C2" s="63">
        <v>418.47</v>
      </c>
    </row>
    <row r="3" spans="1:3" x14ac:dyDescent="0.25">
      <c r="A3" s="61" t="s">
        <v>386</v>
      </c>
      <c r="B3" s="62" t="s">
        <v>35</v>
      </c>
      <c r="C3" s="63">
        <v>379.62</v>
      </c>
    </row>
    <row r="4" spans="1:3" x14ac:dyDescent="0.25">
      <c r="A4" s="61" t="s">
        <v>387</v>
      </c>
      <c r="B4" s="62" t="s">
        <v>91</v>
      </c>
      <c r="C4" s="63">
        <v>271.83</v>
      </c>
    </row>
    <row r="5" spans="1:3" x14ac:dyDescent="0.25">
      <c r="A5" s="61" t="s">
        <v>388</v>
      </c>
      <c r="B5" s="62" t="s">
        <v>92</v>
      </c>
      <c r="C5" s="63">
        <v>374.84</v>
      </c>
    </row>
    <row r="6" spans="1:3" x14ac:dyDescent="0.25">
      <c r="A6" s="61" t="s">
        <v>389</v>
      </c>
      <c r="B6" s="62" t="s">
        <v>93</v>
      </c>
      <c r="C6" s="63">
        <v>405.15</v>
      </c>
    </row>
    <row r="7" spans="1:3" x14ac:dyDescent="0.25">
      <c r="A7" s="61" t="s">
        <v>390</v>
      </c>
      <c r="B7" s="62" t="s">
        <v>94</v>
      </c>
      <c r="C7" s="63">
        <v>407.31</v>
      </c>
    </row>
    <row r="8" spans="1:3" x14ac:dyDescent="0.25">
      <c r="A8" s="61" t="s">
        <v>391</v>
      </c>
      <c r="B8" s="62" t="s">
        <v>95</v>
      </c>
      <c r="C8" s="63">
        <v>165.61</v>
      </c>
    </row>
    <row r="9" spans="1:3" x14ac:dyDescent="0.25">
      <c r="A9" s="61" t="s">
        <v>392</v>
      </c>
      <c r="B9" s="62" t="s">
        <v>412</v>
      </c>
      <c r="C9" s="63">
        <v>0</v>
      </c>
    </row>
    <row r="10" spans="1:3" x14ac:dyDescent="0.25">
      <c r="A10" s="61">
        <v>18006</v>
      </c>
      <c r="B10" s="62" t="s">
        <v>473</v>
      </c>
      <c r="C10" s="63">
        <v>177.4</v>
      </c>
    </row>
    <row r="11" spans="1:3" x14ac:dyDescent="0.25">
      <c r="A11" s="61" t="s">
        <v>393</v>
      </c>
      <c r="B11" s="62" t="s">
        <v>96</v>
      </c>
      <c r="C11" s="63">
        <v>149.80000000000001</v>
      </c>
    </row>
    <row r="12" spans="1:3" x14ac:dyDescent="0.25">
      <c r="A12" s="61" t="s">
        <v>394</v>
      </c>
      <c r="B12" s="62" t="s">
        <v>60</v>
      </c>
      <c r="C12" s="63">
        <v>201.35</v>
      </c>
    </row>
    <row r="13" spans="1:3" x14ac:dyDescent="0.25">
      <c r="A13" s="61" t="s">
        <v>395</v>
      </c>
      <c r="B13" s="62" t="s">
        <v>97</v>
      </c>
      <c r="C13" s="63">
        <v>188.7</v>
      </c>
    </row>
    <row r="14" spans="1:3" x14ac:dyDescent="0.25">
      <c r="A14" s="61" t="s">
        <v>396</v>
      </c>
      <c r="B14" s="62" t="s">
        <v>413</v>
      </c>
      <c r="C14" s="63">
        <v>365.19</v>
      </c>
    </row>
    <row r="15" spans="1:3" x14ac:dyDescent="0.25">
      <c r="A15" s="61" t="s">
        <v>397</v>
      </c>
      <c r="B15" s="62" t="s">
        <v>414</v>
      </c>
      <c r="C15" s="63">
        <v>332</v>
      </c>
    </row>
    <row r="16" spans="1:3" x14ac:dyDescent="0.25">
      <c r="A16" s="61" t="s">
        <v>398</v>
      </c>
      <c r="B16" s="62" t="s">
        <v>463</v>
      </c>
      <c r="C16" s="63">
        <v>179.82</v>
      </c>
    </row>
    <row r="17" spans="1:3" x14ac:dyDescent="0.25">
      <c r="A17" s="61">
        <v>17678</v>
      </c>
      <c r="B17" s="62" t="s">
        <v>461</v>
      </c>
      <c r="C17" s="63">
        <v>149</v>
      </c>
    </row>
    <row r="18" spans="1:3" x14ac:dyDescent="0.25">
      <c r="A18" s="61" t="s">
        <v>399</v>
      </c>
      <c r="B18" s="62" t="s">
        <v>462</v>
      </c>
      <c r="C18" s="63">
        <v>187.59</v>
      </c>
    </row>
    <row r="19" spans="1:3" x14ac:dyDescent="0.25">
      <c r="A19" s="61" t="s">
        <v>400</v>
      </c>
      <c r="B19" s="62" t="s">
        <v>98</v>
      </c>
      <c r="C19" s="63">
        <v>329.33</v>
      </c>
    </row>
    <row r="20" spans="1:3" x14ac:dyDescent="0.25">
      <c r="A20" s="61" t="s">
        <v>401</v>
      </c>
      <c r="B20" s="62" t="s">
        <v>33</v>
      </c>
      <c r="C20" s="63">
        <v>227.82</v>
      </c>
    </row>
    <row r="21" spans="1:3" x14ac:dyDescent="0.25">
      <c r="A21" s="61">
        <v>16084</v>
      </c>
      <c r="B21" s="62" t="s">
        <v>419</v>
      </c>
      <c r="C21" s="63">
        <v>285.93</v>
      </c>
    </row>
    <row r="22" spans="1:3" x14ac:dyDescent="0.25">
      <c r="A22" s="61">
        <v>16085</v>
      </c>
      <c r="B22" s="62" t="s">
        <v>420</v>
      </c>
      <c r="C22" s="63">
        <v>375</v>
      </c>
    </row>
    <row r="23" spans="1:3" x14ac:dyDescent="0.25">
      <c r="A23" s="61" t="s">
        <v>402</v>
      </c>
      <c r="B23" s="62" t="s">
        <v>32</v>
      </c>
      <c r="C23" s="63">
        <v>133.19999999999999</v>
      </c>
    </row>
    <row r="24" spans="1:3" x14ac:dyDescent="0.25">
      <c r="A24" s="61" t="s">
        <v>404</v>
      </c>
      <c r="B24" s="62" t="s">
        <v>99</v>
      </c>
      <c r="C24" s="63">
        <v>228.66</v>
      </c>
    </row>
    <row r="25" spans="1:3" x14ac:dyDescent="0.25">
      <c r="A25" s="61" t="s">
        <v>403</v>
      </c>
      <c r="B25" s="62" t="s">
        <v>101</v>
      </c>
      <c r="C25" s="63">
        <v>109</v>
      </c>
    </row>
    <row r="26" spans="1:3" x14ac:dyDescent="0.25">
      <c r="A26" s="61" t="s">
        <v>405</v>
      </c>
      <c r="B26" s="62" t="s">
        <v>100</v>
      </c>
      <c r="C26" s="63">
        <v>163.4</v>
      </c>
    </row>
    <row r="27" spans="1:3" x14ac:dyDescent="0.25">
      <c r="A27" s="61" t="s">
        <v>406</v>
      </c>
      <c r="B27" s="62" t="s">
        <v>34</v>
      </c>
      <c r="C27" s="63">
        <v>199.25</v>
      </c>
    </row>
    <row r="28" spans="1:3" x14ac:dyDescent="0.25">
      <c r="A28" s="61" t="s">
        <v>407</v>
      </c>
      <c r="B28" s="62" t="s">
        <v>102</v>
      </c>
      <c r="C28" s="63">
        <v>142.57</v>
      </c>
    </row>
    <row r="29" spans="1:3" x14ac:dyDescent="0.25">
      <c r="A29" s="61" t="s">
        <v>408</v>
      </c>
      <c r="B29" s="62" t="s">
        <v>103</v>
      </c>
      <c r="C29" s="63">
        <v>106.56</v>
      </c>
    </row>
    <row r="30" spans="1:3" x14ac:dyDescent="0.25">
      <c r="A30" s="61" t="s">
        <v>409</v>
      </c>
      <c r="B30" s="62" t="s">
        <v>416</v>
      </c>
      <c r="C30" s="63">
        <v>149.4</v>
      </c>
    </row>
    <row r="31" spans="1:3" x14ac:dyDescent="0.25">
      <c r="A31" s="61" t="s">
        <v>410</v>
      </c>
      <c r="B31" s="62" t="s">
        <v>417</v>
      </c>
      <c r="C31" s="63">
        <v>179.26</v>
      </c>
    </row>
    <row r="32" spans="1:3" x14ac:dyDescent="0.25">
      <c r="A32" s="61" t="s">
        <v>411</v>
      </c>
      <c r="B32" s="62" t="s">
        <v>104</v>
      </c>
      <c r="C32" s="63">
        <v>227.55</v>
      </c>
    </row>
    <row r="33" spans="1:3" x14ac:dyDescent="0.25">
      <c r="A33" s="61">
        <v>3493</v>
      </c>
      <c r="B33" s="62" t="s">
        <v>456</v>
      </c>
      <c r="C33" s="63">
        <v>221.88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G11" sqref="G11"/>
    </sheetView>
  </sheetViews>
  <sheetFormatPr defaultRowHeight="15" x14ac:dyDescent="0.25"/>
  <cols>
    <col min="1" max="1" width="10.85546875" customWidth="1"/>
    <col min="2" max="2" width="19.5703125" customWidth="1"/>
    <col min="3" max="3" width="13.42578125" customWidth="1"/>
    <col min="7" max="7" width="9.28515625" customWidth="1"/>
    <col min="8" max="8" width="19.5703125" bestFit="1" customWidth="1"/>
    <col min="9" max="9" width="10.28515625" customWidth="1"/>
  </cols>
  <sheetData>
    <row r="1" spans="1:9" x14ac:dyDescent="0.25">
      <c r="A1" s="71" t="s">
        <v>105</v>
      </c>
      <c r="B1" s="72" t="s">
        <v>106</v>
      </c>
      <c r="C1" s="73" t="s">
        <v>63</v>
      </c>
      <c r="G1" s="71" t="s">
        <v>105</v>
      </c>
      <c r="H1" s="72" t="s">
        <v>106</v>
      </c>
      <c r="I1" s="73" t="s">
        <v>63</v>
      </c>
    </row>
    <row r="2" spans="1:9" x14ac:dyDescent="0.25">
      <c r="A2" s="69">
        <v>1</v>
      </c>
      <c r="B2" s="65" t="s">
        <v>64</v>
      </c>
      <c r="C2" s="66">
        <v>25</v>
      </c>
      <c r="G2" s="69">
        <v>1</v>
      </c>
      <c r="H2" s="65" t="s">
        <v>26</v>
      </c>
      <c r="I2" s="66">
        <v>50</v>
      </c>
    </row>
    <row r="3" spans="1:9" x14ac:dyDescent="0.25">
      <c r="A3" s="70">
        <v>2</v>
      </c>
      <c r="B3" s="67" t="s">
        <v>65</v>
      </c>
      <c r="C3" s="68">
        <v>90</v>
      </c>
      <c r="G3" s="70">
        <v>2</v>
      </c>
      <c r="H3" s="67" t="s">
        <v>27</v>
      </c>
      <c r="I3" s="68">
        <v>45</v>
      </c>
    </row>
    <row r="4" spans="1:9" x14ac:dyDescent="0.25">
      <c r="A4" s="69">
        <v>3</v>
      </c>
      <c r="B4" s="65" t="s">
        <v>66</v>
      </c>
      <c r="C4" s="66">
        <v>115</v>
      </c>
      <c r="G4" s="69">
        <v>3</v>
      </c>
      <c r="H4" s="65" t="s">
        <v>28</v>
      </c>
      <c r="I4" s="66">
        <v>10</v>
      </c>
    </row>
    <row r="5" spans="1:9" x14ac:dyDescent="0.25">
      <c r="A5" s="70">
        <v>4</v>
      </c>
      <c r="B5" s="67" t="s">
        <v>67</v>
      </c>
      <c r="C5" s="68">
        <v>55</v>
      </c>
      <c r="G5" s="74">
        <v>4</v>
      </c>
      <c r="H5" s="75" t="s">
        <v>29</v>
      </c>
      <c r="I5" s="76">
        <v>20</v>
      </c>
    </row>
    <row r="6" spans="1:9" x14ac:dyDescent="0.25">
      <c r="A6" s="69">
        <v>5</v>
      </c>
      <c r="B6" s="65" t="s">
        <v>68</v>
      </c>
      <c r="C6" s="66">
        <v>210</v>
      </c>
      <c r="H6" s="65"/>
      <c r="I6" s="227"/>
    </row>
    <row r="7" spans="1:9" x14ac:dyDescent="0.25">
      <c r="A7" s="70">
        <v>6</v>
      </c>
      <c r="B7" s="67" t="s">
        <v>69</v>
      </c>
      <c r="C7" s="68">
        <v>260</v>
      </c>
      <c r="G7" s="224"/>
      <c r="H7" s="225"/>
      <c r="I7" s="226"/>
    </row>
    <row r="8" spans="1:9" x14ac:dyDescent="0.25">
      <c r="A8" s="69">
        <v>7</v>
      </c>
      <c r="B8" s="65" t="s">
        <v>70</v>
      </c>
      <c r="C8" s="66">
        <v>113</v>
      </c>
      <c r="G8" s="224"/>
      <c r="H8" s="225"/>
      <c r="I8" s="226"/>
    </row>
    <row r="9" spans="1:9" x14ac:dyDescent="0.25">
      <c r="A9" s="70">
        <v>8</v>
      </c>
      <c r="B9" s="67" t="s">
        <v>71</v>
      </c>
      <c r="C9" s="68">
        <v>175</v>
      </c>
    </row>
    <row r="10" spans="1:9" x14ac:dyDescent="0.25">
      <c r="A10" s="69">
        <v>9</v>
      </c>
      <c r="B10" s="65" t="s">
        <v>72</v>
      </c>
      <c r="C10" s="66">
        <v>-5</v>
      </c>
    </row>
    <row r="11" spans="1:9" x14ac:dyDescent="0.25">
      <c r="A11" s="74">
        <v>10</v>
      </c>
      <c r="B11" s="75" t="s">
        <v>25</v>
      </c>
      <c r="C11" s="76">
        <v>60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C29"/>
  <sheetViews>
    <sheetView tabSelected="1" zoomScale="85" zoomScaleNormal="85" workbookViewId="0">
      <selection activeCell="C6" sqref="C6"/>
    </sheetView>
  </sheetViews>
  <sheetFormatPr defaultColWidth="0" defaultRowHeight="12.75" zeroHeight="1" x14ac:dyDescent="0.2"/>
  <cols>
    <col min="1" max="1" width="1.85546875" style="31" customWidth="1"/>
    <col min="2" max="2" width="8.7109375" style="15" customWidth="1"/>
    <col min="3" max="3" width="24.42578125" style="15" customWidth="1"/>
    <col min="4" max="4" width="27" style="15" customWidth="1"/>
    <col min="5" max="5" width="8.28515625" style="24" customWidth="1"/>
    <col min="6" max="6" width="10.140625" style="18" bestFit="1" customWidth="1"/>
    <col min="7" max="7" width="8.42578125" style="18" customWidth="1"/>
    <col min="8" max="8" width="9.140625" style="20" bestFit="1" customWidth="1"/>
    <col min="9" max="9" width="17" style="20" customWidth="1"/>
    <col min="10" max="10" width="20.5703125" style="20" customWidth="1"/>
    <col min="11" max="11" width="11.5703125" style="20" customWidth="1"/>
    <col min="12" max="12" width="8.5703125" style="20" customWidth="1"/>
    <col min="13" max="13" width="10.5703125" style="20" bestFit="1" customWidth="1"/>
    <col min="14" max="14" width="13" style="20" customWidth="1"/>
    <col min="15" max="15" width="17.85546875" style="15" customWidth="1"/>
    <col min="16" max="16" width="9.7109375" style="15" customWidth="1"/>
    <col min="17" max="17" width="12" style="15" customWidth="1"/>
    <col min="18" max="18" width="7.5703125" style="20" bestFit="1" customWidth="1"/>
    <col min="19" max="19" width="9.28515625" style="48" hidden="1"/>
    <col min="20" max="20" width="6.28515625" style="20" hidden="1"/>
    <col min="21" max="21" width="6.140625" style="20" hidden="1"/>
    <col min="22" max="22" width="17.7109375" style="20" hidden="1"/>
    <col min="23" max="23" width="7.28515625" style="20" hidden="1"/>
    <col min="24" max="25" width="7.140625" style="20" hidden="1"/>
    <col min="26" max="26" width="5.7109375" style="15" hidden="1"/>
    <col min="27" max="27" width="9.140625" style="15" hidden="1"/>
    <col min="28" max="28" width="9.42578125" style="20" hidden="1"/>
    <col min="29" max="29" width="1.5703125" style="1" hidden="1"/>
    <col min="30" max="54" width="0" style="15" hidden="1"/>
    <col min="55" max="16382" width="9.140625" style="15" hidden="1"/>
    <col min="16383" max="16383" width="13" style="15" hidden="1" customWidth="1"/>
    <col min="16384" max="16384" width="7.85546875" style="15" hidden="1" customWidth="1"/>
  </cols>
  <sheetData>
    <row r="1" spans="1:54" s="1" customFormat="1" ht="3" customHeight="1" x14ac:dyDescent="0.2">
      <c r="A1" s="31"/>
      <c r="E1" s="11"/>
      <c r="F1" s="22"/>
      <c r="G1" s="22"/>
      <c r="H1" s="9"/>
      <c r="I1" s="9"/>
      <c r="J1" s="9"/>
      <c r="K1" s="9"/>
      <c r="L1" s="9"/>
      <c r="M1" s="9"/>
      <c r="N1" s="9"/>
      <c r="R1" s="9"/>
      <c r="S1" s="45"/>
      <c r="T1" s="9"/>
      <c r="U1" s="9"/>
      <c r="V1" s="9"/>
      <c r="W1" s="9"/>
      <c r="X1" s="9"/>
      <c r="Y1" s="9"/>
      <c r="AB1" s="9"/>
    </row>
    <row r="2" spans="1:54" s="1" customFormat="1" ht="3.75" customHeight="1" thickBot="1" x14ac:dyDescent="0.25">
      <c r="A2" s="32"/>
      <c r="B2" s="2"/>
      <c r="C2" s="2"/>
      <c r="D2" s="2"/>
      <c r="E2" s="10"/>
      <c r="F2" s="22"/>
      <c r="G2" s="22"/>
      <c r="H2" s="3"/>
      <c r="I2" s="3"/>
      <c r="J2" s="3"/>
      <c r="K2" s="3"/>
      <c r="L2" s="3"/>
      <c r="M2" s="3"/>
      <c r="N2" s="3"/>
      <c r="O2" s="2"/>
      <c r="P2" s="2"/>
      <c r="Q2" s="2"/>
      <c r="R2" s="3"/>
      <c r="S2" s="46"/>
      <c r="T2" s="3"/>
      <c r="U2" s="3"/>
      <c r="V2" s="3"/>
      <c r="W2" s="3"/>
      <c r="X2" s="3"/>
      <c r="Y2" s="3"/>
      <c r="Z2" s="2"/>
      <c r="AA2" s="2"/>
      <c r="AB2" s="3"/>
      <c r="AC2" s="2"/>
      <c r="AD2" s="2"/>
    </row>
    <row r="3" spans="1:54" ht="18.75" customHeight="1" thickBot="1" x14ac:dyDescent="0.25">
      <c r="A3" s="32"/>
      <c r="B3" s="231" t="s">
        <v>418</v>
      </c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3"/>
      <c r="S3" s="47"/>
      <c r="T3" s="7"/>
      <c r="U3" s="7"/>
      <c r="V3" s="4"/>
      <c r="W3" s="4"/>
      <c r="X3" s="8"/>
      <c r="Y3" s="2"/>
      <c r="Z3" s="14"/>
      <c r="AB3" s="15"/>
      <c r="AC3" s="15"/>
    </row>
    <row r="4" spans="1:54" s="17" customFormat="1" ht="12.75" customHeight="1" thickBot="1" x14ac:dyDescent="0.25">
      <c r="A4" s="32"/>
      <c r="B4" s="245" t="s">
        <v>3</v>
      </c>
      <c r="C4" s="246"/>
      <c r="D4" s="246"/>
      <c r="E4" s="246"/>
      <c r="F4" s="246"/>
      <c r="G4" s="246"/>
      <c r="H4" s="247"/>
      <c r="I4" s="245" t="s">
        <v>2</v>
      </c>
      <c r="J4" s="246"/>
      <c r="K4" s="246"/>
      <c r="L4" s="246"/>
      <c r="M4" s="248"/>
      <c r="N4" s="249" t="s">
        <v>107</v>
      </c>
      <c r="O4" s="250"/>
      <c r="P4" s="250"/>
      <c r="Q4" s="251"/>
      <c r="R4" s="20"/>
      <c r="S4" s="47"/>
      <c r="T4" s="7"/>
      <c r="U4" s="7"/>
      <c r="V4" s="4"/>
      <c r="W4" s="4"/>
      <c r="X4" s="8"/>
      <c r="Y4" s="2"/>
      <c r="Z4" s="14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</row>
    <row r="5" spans="1:54" ht="13.5" thickBot="1" x14ac:dyDescent="0.25">
      <c r="A5" s="32"/>
      <c r="B5" s="182" t="s">
        <v>4</v>
      </c>
      <c r="C5" s="183" t="s">
        <v>5</v>
      </c>
      <c r="D5" s="183" t="s">
        <v>63</v>
      </c>
      <c r="E5" s="184" t="s">
        <v>0</v>
      </c>
      <c r="F5" s="185" t="s">
        <v>1</v>
      </c>
      <c r="G5" s="185" t="s">
        <v>13</v>
      </c>
      <c r="H5" s="86" t="s">
        <v>7</v>
      </c>
      <c r="I5" s="186" t="s">
        <v>12</v>
      </c>
      <c r="J5" s="186" t="s">
        <v>5</v>
      </c>
      <c r="K5" s="186" t="s">
        <v>15</v>
      </c>
      <c r="L5" s="186" t="s">
        <v>6</v>
      </c>
      <c r="M5" s="86" t="s">
        <v>7</v>
      </c>
      <c r="N5" s="152" t="s">
        <v>4</v>
      </c>
      <c r="O5" s="183" t="s">
        <v>5</v>
      </c>
      <c r="P5" s="183" t="s">
        <v>9</v>
      </c>
      <c r="Q5" s="119" t="s">
        <v>7</v>
      </c>
      <c r="R5" s="187" t="s">
        <v>24</v>
      </c>
      <c r="S5" s="47"/>
      <c r="T5" s="7"/>
      <c r="U5" s="7"/>
      <c r="V5" s="4"/>
      <c r="W5" s="4"/>
      <c r="X5" s="8"/>
      <c r="Y5" s="2"/>
      <c r="Z5" s="14"/>
      <c r="AB5" s="15"/>
      <c r="AC5" s="15"/>
    </row>
    <row r="6" spans="1:54" x14ac:dyDescent="0.2">
      <c r="A6" s="32">
        <v>39</v>
      </c>
      <c r="B6" s="77">
        <f>IFERROR(INDEX(PERFIl!$A:$A,MATCH(C6,PERFIl!$B:$B,0)),"")</f>
        <v>17695</v>
      </c>
      <c r="C6" s="89" t="s">
        <v>470</v>
      </c>
      <c r="D6" s="38">
        <f>IFERROR(VLOOKUP(B6,PERFIl!$A:$C,3,0),"")</f>
        <v>35.6</v>
      </c>
      <c r="E6" s="89">
        <v>0.4</v>
      </c>
      <c r="F6" s="89">
        <v>2</v>
      </c>
      <c r="G6" s="110">
        <f t="shared" ref="G6:G13" si="0">((E6*2)+(F6*2))</f>
        <v>4.8</v>
      </c>
      <c r="H6" s="101">
        <f>IFERROR(((E6*2)+(F6*2))*(D6),"")</f>
        <v>170.88</v>
      </c>
      <c r="I6" s="79" t="str">
        <f>IFERROR(INDEX(DIVISORES!$A:$A,MATCH(J6,DIVISORES!$B:$B,0)),"")</f>
        <v/>
      </c>
      <c r="J6" s="89"/>
      <c r="K6" s="89">
        <v>1</v>
      </c>
      <c r="L6" s="38" t="str">
        <f>IFERROR(VLOOKUP(I6,BaseDivisores[[Codigo]:[Preço]],3,0),"")</f>
        <v/>
      </c>
      <c r="M6" s="101" t="str">
        <f>IFERROR((E6*K6*L6),"")</f>
        <v/>
      </c>
      <c r="N6" s="125" t="str">
        <f>IFERROR(INDEX(BASE_VIDROS!$A:$A,MATCH(O6,BASE_VIDROS!$B:$B,0)),"")</f>
        <v xml:space="preserve">006250              </v>
      </c>
      <c r="O6" s="89" t="s">
        <v>101</v>
      </c>
      <c r="P6" s="58">
        <f>IFERROR(VLOOKUP(N6,BaseVidros[[Codigo]:[Preço]],3,0),"")</f>
        <v>109</v>
      </c>
      <c r="Q6" s="120">
        <f>IFERROR(E6*F6*P6,"")</f>
        <v>87.2</v>
      </c>
      <c r="R6" s="123">
        <f t="shared" ref="R6:R13" si="1">E6*F6</f>
        <v>0.8</v>
      </c>
      <c r="S6" s="47"/>
      <c r="T6" s="7"/>
      <c r="U6" s="7"/>
      <c r="V6" s="4"/>
      <c r="W6" s="4"/>
      <c r="X6" s="8"/>
      <c r="Y6" s="2"/>
      <c r="Z6" s="14"/>
      <c r="AB6" s="15"/>
      <c r="AC6" s="15"/>
    </row>
    <row r="7" spans="1:54" s="23" customFormat="1" x14ac:dyDescent="0.2">
      <c r="A7" s="32">
        <v>57</v>
      </c>
      <c r="B7" s="77" t="str">
        <f>IFERROR(INDEX(PERFIl!$A:$A,MATCH(C7,PERFIl!$B:$B,0)),"")</f>
        <v xml:space="preserve">010051              </v>
      </c>
      <c r="C7" s="90" t="s">
        <v>186</v>
      </c>
      <c r="D7" s="35">
        <f>IFERROR(VLOOKUP(B7,PERFIl!$A:$C,3,0),"")</f>
        <v>54.75</v>
      </c>
      <c r="E7" s="90">
        <v>0.35</v>
      </c>
      <c r="F7" s="90">
        <v>2.1</v>
      </c>
      <c r="G7" s="111">
        <f t="shared" si="0"/>
        <v>4.9000000000000004</v>
      </c>
      <c r="H7" s="102">
        <f t="shared" ref="H7:H13" si="2">IFERROR(((E7*2)+(F7*2))*(D7),"")</f>
        <v>268.27500000000003</v>
      </c>
      <c r="I7" s="80" t="str">
        <f>IFERROR(INDEX(DIVISORES!$A:$A,MATCH(J7,DIVISORES!$B:$B,0)),"")</f>
        <v/>
      </c>
      <c r="J7" s="90"/>
      <c r="K7" s="90">
        <v>1</v>
      </c>
      <c r="L7" s="35" t="str">
        <f>IFERROR(VLOOKUP(I7,BaseDivisores[[Codigo]:[Preço]],3,0),"")</f>
        <v/>
      </c>
      <c r="M7" s="102" t="str">
        <f t="shared" ref="M7:M13" si="3">IFERROR((E7*K7*L7),"")</f>
        <v/>
      </c>
      <c r="N7" s="81" t="str">
        <f>IFERROR(INDEX(BASE_VIDROS!$A:$A,MATCH(O7,BASE_VIDROS!$B:$B,0)),"")</f>
        <v xml:space="preserve">003801              </v>
      </c>
      <c r="O7" s="90" t="s">
        <v>95</v>
      </c>
      <c r="P7" s="56">
        <f>IFERROR(VLOOKUP(N7,BaseVidros[[Codigo]:[Preço]],3,0),"")</f>
        <v>165.61</v>
      </c>
      <c r="Q7" s="121">
        <f>IFERROR(E7*F7*P7,"")</f>
        <v>121.72335000000001</v>
      </c>
      <c r="R7" s="123">
        <f t="shared" si="1"/>
        <v>0.73499999999999999</v>
      </c>
      <c r="S7" s="47"/>
      <c r="T7" s="7"/>
      <c r="U7" s="7"/>
      <c r="V7" s="4"/>
      <c r="W7" s="4"/>
      <c r="X7" s="8"/>
      <c r="Y7" s="2"/>
      <c r="Z7" s="14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</row>
    <row r="8" spans="1:54" x14ac:dyDescent="0.2">
      <c r="A8" s="32">
        <v>57</v>
      </c>
      <c r="B8" s="77" t="str">
        <f>IFERROR(INDEX(PERFIl!$A:$A,MATCH(C8,PERFIl!$B:$B,0)),"")</f>
        <v xml:space="preserve">011277              </v>
      </c>
      <c r="C8" s="90" t="s">
        <v>194</v>
      </c>
      <c r="D8" s="35">
        <f>IFERROR(VLOOKUP(B8,PERFIl!$A:$C,3,0),"")</f>
        <v>63.7</v>
      </c>
      <c r="E8" s="90">
        <v>0.49</v>
      </c>
      <c r="F8" s="90">
        <v>2.4590000000000001</v>
      </c>
      <c r="G8" s="111">
        <f t="shared" si="0"/>
        <v>5.8979999999999997</v>
      </c>
      <c r="H8" s="102">
        <f t="shared" si="2"/>
        <v>375.70260000000002</v>
      </c>
      <c r="I8" s="80" t="str">
        <f>IFERROR(INDEX(DIVISORES!$A:$A,MATCH(J8,DIVISORES!$B:$B,0)),"")</f>
        <v/>
      </c>
      <c r="J8" s="90"/>
      <c r="K8" s="90">
        <v>1</v>
      </c>
      <c r="L8" s="35" t="str">
        <f>IFERROR(VLOOKUP(I8,BaseDivisores[[Codigo]:[Preço]],3,0),"")</f>
        <v/>
      </c>
      <c r="M8" s="102" t="str">
        <f t="shared" si="3"/>
        <v/>
      </c>
      <c r="N8" s="81" t="str">
        <f>IFERROR(INDEX(BASE_VIDROS!$A:$A,MATCH(O8,BASE_VIDROS!$B:$B,0)),"")</f>
        <v xml:space="preserve">003184              </v>
      </c>
      <c r="O8" s="90" t="s">
        <v>417</v>
      </c>
      <c r="P8" s="56">
        <f>IFERROR(VLOOKUP(N8,BaseVidros[[Codigo]:[Preço]],3,0),"")</f>
        <v>179.26</v>
      </c>
      <c r="Q8" s="121">
        <f t="shared" ref="Q8:Q13" si="4">IFERROR(E8*F8*P8,"")</f>
        <v>215.99216659999996</v>
      </c>
      <c r="R8" s="123">
        <f t="shared" si="1"/>
        <v>1.2049099999999999</v>
      </c>
      <c r="S8" s="47"/>
      <c r="T8" s="7"/>
      <c r="U8" s="7"/>
      <c r="V8" s="4"/>
      <c r="W8" s="4"/>
      <c r="X8" s="8"/>
      <c r="Y8" s="2"/>
      <c r="Z8" s="14"/>
      <c r="AB8" s="15"/>
      <c r="AC8" s="15"/>
    </row>
    <row r="9" spans="1:54" s="23" customFormat="1" x14ac:dyDescent="0.2">
      <c r="A9" s="32">
        <v>57</v>
      </c>
      <c r="B9" s="77" t="str">
        <f>IFERROR(INDEX(PERFIl!$A:$A,MATCH(C9,PERFIl!$B:$B,0)),"")</f>
        <v xml:space="preserve">014259              </v>
      </c>
      <c r="C9" s="90" t="s">
        <v>134</v>
      </c>
      <c r="D9" s="35">
        <f>IFERROR(VLOOKUP(B9,PERFIl!$A:$C,3,0),"")</f>
        <v>72.5</v>
      </c>
      <c r="E9" s="90">
        <v>0.51100000000000001</v>
      </c>
      <c r="F9" s="90">
        <v>2.4590000000000001</v>
      </c>
      <c r="G9" s="111">
        <f t="shared" si="0"/>
        <v>5.94</v>
      </c>
      <c r="H9" s="102">
        <f t="shared" si="2"/>
        <v>430.65000000000003</v>
      </c>
      <c r="I9" s="80" t="str">
        <f>IFERROR(INDEX(DIVISORES!$A:$A,MATCH(J9,DIVISORES!$B:$B,0)),"")</f>
        <v/>
      </c>
      <c r="J9" s="90"/>
      <c r="K9" s="90">
        <v>1</v>
      </c>
      <c r="L9" s="35" t="str">
        <f>IFERROR(VLOOKUP(I9,BaseDivisores[[Codigo]:[Preço]],3,0),"")</f>
        <v/>
      </c>
      <c r="M9" s="102" t="str">
        <f t="shared" si="3"/>
        <v/>
      </c>
      <c r="N9" s="81" t="str">
        <f>IFERROR(INDEX(BASE_VIDROS!$A:$A,MATCH(O9,BASE_VIDROS!$B:$B,0)),"")</f>
        <v xml:space="preserve">003184              </v>
      </c>
      <c r="O9" s="90" t="s">
        <v>417</v>
      </c>
      <c r="P9" s="56">
        <f>IFERROR(VLOOKUP(N9,BaseVidros[[Codigo]:[Preço]],3,0),"")</f>
        <v>179.26</v>
      </c>
      <c r="Q9" s="121">
        <f t="shared" si="4"/>
        <v>225.24897374000003</v>
      </c>
      <c r="R9" s="123">
        <f t="shared" si="1"/>
        <v>1.2565490000000001</v>
      </c>
      <c r="S9" s="47"/>
      <c r="T9" s="7"/>
      <c r="U9" s="7"/>
      <c r="V9" s="4"/>
      <c r="W9" s="4"/>
      <c r="X9" s="8"/>
      <c r="Y9" s="2"/>
      <c r="Z9" s="14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</row>
    <row r="10" spans="1:54" x14ac:dyDescent="0.2">
      <c r="A10" s="32">
        <v>57</v>
      </c>
      <c r="B10" s="77">
        <f>IFERROR(INDEX(PERFIl!$A:$A,MATCH(C10,PERFIl!$B:$B,0)),"")</f>
        <v>17695</v>
      </c>
      <c r="C10" s="90" t="s">
        <v>470</v>
      </c>
      <c r="D10" s="35">
        <f>IFERROR(VLOOKUP(B10,PERFIl!$A:$C,3,0),"")</f>
        <v>35.6</v>
      </c>
      <c r="E10" s="90">
        <v>0.26600000000000001</v>
      </c>
      <c r="F10" s="90">
        <v>2.4590000000000001</v>
      </c>
      <c r="G10" s="111">
        <f t="shared" si="0"/>
        <v>5.45</v>
      </c>
      <c r="H10" s="102">
        <f t="shared" si="2"/>
        <v>194.02</v>
      </c>
      <c r="I10" s="80" t="str">
        <f>IFERROR(INDEX(DIVISORES!$A:$A,MATCH(J10,DIVISORES!$B:$B,0)),"")</f>
        <v/>
      </c>
      <c r="J10" s="90"/>
      <c r="K10" s="90">
        <v>1</v>
      </c>
      <c r="L10" s="35" t="str">
        <f>IFERROR(VLOOKUP(I10,BaseDivisores[[Codigo]:[Preço]],3,0),"")</f>
        <v/>
      </c>
      <c r="M10" s="102" t="str">
        <f t="shared" si="3"/>
        <v/>
      </c>
      <c r="N10" s="81" t="str">
        <f>IFERROR(INDEX(BASE_VIDROS!$A:$A,MATCH(O10,BASE_VIDROS!$B:$B,0)),"")</f>
        <v xml:space="preserve">003184              </v>
      </c>
      <c r="O10" s="90" t="s">
        <v>417</v>
      </c>
      <c r="P10" s="56">
        <f>IFERROR(VLOOKUP(N10,BaseVidros[[Codigo]:[Preço]],3,0),"")</f>
        <v>179.26</v>
      </c>
      <c r="Q10" s="121">
        <f t="shared" si="4"/>
        <v>117.25289044</v>
      </c>
      <c r="R10" s="123">
        <f t="shared" si="1"/>
        <v>0.65409400000000006</v>
      </c>
      <c r="S10" s="47"/>
      <c r="T10" s="7"/>
      <c r="U10" s="7"/>
      <c r="V10" s="4"/>
      <c r="W10" s="4"/>
      <c r="X10" s="8"/>
      <c r="Y10" s="2"/>
      <c r="Z10" s="14"/>
      <c r="AB10" s="15"/>
      <c r="AC10" s="15"/>
    </row>
    <row r="11" spans="1:54" s="23" customFormat="1" x14ac:dyDescent="0.2">
      <c r="A11" s="32">
        <v>57</v>
      </c>
      <c r="B11" s="77">
        <f>IFERROR(INDEX(PERFIl!$A:$A,MATCH(C11,PERFIl!$B:$B,0)),"")</f>
        <v>17695</v>
      </c>
      <c r="C11" s="90" t="s">
        <v>470</v>
      </c>
      <c r="D11" s="35">
        <f>IFERROR(VLOOKUP(B11,PERFIl!$A:$C,3,0),"")</f>
        <v>35.6</v>
      </c>
      <c r="E11" s="90">
        <v>0.502</v>
      </c>
      <c r="F11" s="90">
        <v>2.4590000000000001</v>
      </c>
      <c r="G11" s="111">
        <f t="shared" si="0"/>
        <v>5.9220000000000006</v>
      </c>
      <c r="H11" s="102">
        <f t="shared" si="2"/>
        <v>210.82320000000004</v>
      </c>
      <c r="I11" s="80" t="str">
        <f>IFERROR(INDEX(DIVISORES!$A:$A,MATCH(J11,DIVISORES!$B:$B,0)),"")</f>
        <v/>
      </c>
      <c r="J11" s="90"/>
      <c r="K11" s="90">
        <v>1</v>
      </c>
      <c r="L11" s="35" t="str">
        <f>IFERROR(VLOOKUP(I11,BaseDivisores[[Codigo]:[Preço]],3,0),"")</f>
        <v/>
      </c>
      <c r="M11" s="102" t="str">
        <f t="shared" si="3"/>
        <v/>
      </c>
      <c r="N11" s="81" t="str">
        <f>IFERROR(INDEX(BASE_VIDROS!$A:$A,MATCH(O11,BASE_VIDROS!$B:$B,0)),"")</f>
        <v xml:space="preserve">003183              </v>
      </c>
      <c r="O11" s="90" t="s">
        <v>463</v>
      </c>
      <c r="P11" s="56">
        <f>IFERROR(VLOOKUP(N11,BaseVidros[[Codigo]:[Preço]],3,0),"")</f>
        <v>179.82</v>
      </c>
      <c r="Q11" s="121">
        <f t="shared" si="4"/>
        <v>221.97304475999999</v>
      </c>
      <c r="R11" s="123">
        <f t="shared" si="1"/>
        <v>1.234418</v>
      </c>
      <c r="S11" s="47"/>
      <c r="T11" s="7"/>
      <c r="U11" s="7"/>
      <c r="V11" s="4"/>
      <c r="W11" s="4"/>
      <c r="X11" s="8"/>
      <c r="Y11" s="2"/>
      <c r="Z11" s="14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</row>
    <row r="12" spans="1:54" x14ac:dyDescent="0.2">
      <c r="A12" s="32">
        <v>57</v>
      </c>
      <c r="B12" s="77" t="str">
        <f>IFERROR(INDEX(PERFIl!$A:$A,MATCH(C12,PERFIl!$B:$B,0)),"")</f>
        <v/>
      </c>
      <c r="C12" s="90"/>
      <c r="D12" s="35" t="str">
        <f>IFERROR(VLOOKUP(B12,PERFIl!$A:$C,3,0),"")</f>
        <v/>
      </c>
      <c r="E12" s="90">
        <v>0</v>
      </c>
      <c r="F12" s="90">
        <v>0</v>
      </c>
      <c r="G12" s="111">
        <f t="shared" si="0"/>
        <v>0</v>
      </c>
      <c r="H12" s="102" t="str">
        <f t="shared" si="2"/>
        <v/>
      </c>
      <c r="I12" s="80" t="str">
        <f>IFERROR(INDEX(DIVISORES!$A:$A,MATCH(J12,DIVISORES!$B:$B,0)),"")</f>
        <v/>
      </c>
      <c r="J12" s="90"/>
      <c r="K12" s="90">
        <v>1</v>
      </c>
      <c r="L12" s="35" t="str">
        <f>IFERROR(VLOOKUP(I12,BaseDivisores[[Codigo]:[Preço]],3,0),"")</f>
        <v/>
      </c>
      <c r="M12" s="102" t="str">
        <f t="shared" si="3"/>
        <v/>
      </c>
      <c r="N12" s="81" t="str">
        <f>IFERROR(INDEX(BASE_VIDROS!$A:$A,MATCH(O12,BASE_VIDROS!$B:$B,0)),"")</f>
        <v/>
      </c>
      <c r="O12" s="90"/>
      <c r="P12" s="56" t="str">
        <f>IFERROR(VLOOKUP(N12,BaseVidros[[Codigo]:[Preço]],3,0),"")</f>
        <v/>
      </c>
      <c r="Q12" s="121" t="str">
        <f t="shared" si="4"/>
        <v/>
      </c>
      <c r="R12" s="123">
        <f t="shared" si="1"/>
        <v>0</v>
      </c>
      <c r="S12" s="47"/>
      <c r="T12" s="7"/>
      <c r="U12" s="7"/>
      <c r="V12" s="4"/>
      <c r="W12" s="4"/>
      <c r="X12" s="8"/>
      <c r="Y12" s="2"/>
      <c r="Z12" s="14"/>
      <c r="AB12" s="15"/>
      <c r="AC12" s="15"/>
    </row>
    <row r="13" spans="1:54" s="23" customFormat="1" ht="14.25" customHeight="1" thickBot="1" x14ac:dyDescent="0.25">
      <c r="A13" s="32">
        <v>57</v>
      </c>
      <c r="B13" s="78" t="str">
        <f>IFERROR(INDEX(PERFIl!$A:$A,MATCH(C13,PERFIl!$B:$B,0)),"")</f>
        <v/>
      </c>
      <c r="C13" s="91"/>
      <c r="D13" s="43" t="str">
        <f>IFERROR(VLOOKUP(B13,PERFIl!$A:$C,3,0),"")</f>
        <v/>
      </c>
      <c r="E13" s="91">
        <v>0</v>
      </c>
      <c r="F13" s="91">
        <v>0</v>
      </c>
      <c r="G13" s="112">
        <f t="shared" si="0"/>
        <v>0</v>
      </c>
      <c r="H13" s="103" t="str">
        <f t="shared" si="2"/>
        <v/>
      </c>
      <c r="I13" s="100" t="str">
        <f>IFERROR(INDEX(DIVISORES!$A:$A,MATCH(J13,DIVISORES!$B:$B,0)),"")</f>
        <v/>
      </c>
      <c r="J13" s="91"/>
      <c r="K13" s="91">
        <v>1</v>
      </c>
      <c r="L13" s="43" t="str">
        <f>IFERROR(VLOOKUP(I13,BaseDivisores[[Codigo]:[Preço]],3,0),"")</f>
        <v/>
      </c>
      <c r="M13" s="103" t="str">
        <f t="shared" si="3"/>
        <v/>
      </c>
      <c r="N13" s="82" t="str">
        <f>IFERROR(INDEX(BASE_VIDROS!$A:$A,MATCH(O13,BASE_VIDROS!$B:$B,0)),"")</f>
        <v/>
      </c>
      <c r="O13" s="91"/>
      <c r="P13" s="57" t="str">
        <f>IFERROR(VLOOKUP(N13,BaseVidros[[Codigo]:[Preço]],3,0),"")</f>
        <v/>
      </c>
      <c r="Q13" s="122" t="str">
        <f t="shared" si="4"/>
        <v/>
      </c>
      <c r="R13" s="123">
        <f t="shared" si="1"/>
        <v>0</v>
      </c>
      <c r="S13" s="47"/>
      <c r="T13" s="7"/>
      <c r="U13" s="7"/>
      <c r="V13" s="7"/>
      <c r="W13" s="7"/>
      <c r="X13" s="7"/>
      <c r="Y13" s="7"/>
      <c r="Z13" s="4"/>
      <c r="AA13" s="4"/>
      <c r="AB13" s="8"/>
      <c r="AC13" s="2"/>
      <c r="AD13" s="14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</row>
    <row r="14" spans="1:54" ht="12.75" customHeight="1" thickBot="1" x14ac:dyDescent="0.25">
      <c r="A14" s="32"/>
      <c r="B14" s="4"/>
      <c r="C14" s="4"/>
      <c r="D14" s="4"/>
      <c r="E14" s="5"/>
      <c r="F14" s="6"/>
      <c r="G14" s="13"/>
      <c r="H14" s="7"/>
      <c r="I14" s="7"/>
      <c r="J14" s="7"/>
      <c r="K14" s="7"/>
      <c r="L14" s="7"/>
      <c r="M14" s="7"/>
      <c r="N14" s="7"/>
      <c r="O14" s="4"/>
      <c r="P14" s="4"/>
      <c r="Q14" s="4"/>
      <c r="U14" s="16"/>
      <c r="V14" s="16"/>
      <c r="W14" s="16"/>
      <c r="X14" s="16"/>
      <c r="Y14" s="16"/>
      <c r="Z14" s="14"/>
      <c r="AA14" s="14"/>
      <c r="AB14" s="16"/>
      <c r="AC14" s="2"/>
      <c r="AD14" s="14"/>
    </row>
    <row r="15" spans="1:54" ht="12.75" customHeight="1" thickBot="1" x14ac:dyDescent="0.25">
      <c r="A15" s="32"/>
      <c r="B15" s="252" t="s">
        <v>16</v>
      </c>
      <c r="C15" s="244"/>
      <c r="D15" s="244"/>
      <c r="E15" s="244"/>
      <c r="F15" s="253"/>
      <c r="G15" s="40" t="s">
        <v>23</v>
      </c>
      <c r="H15" s="244" t="s">
        <v>31</v>
      </c>
      <c r="I15" s="244"/>
      <c r="J15" s="244"/>
      <c r="K15" s="244"/>
      <c r="L15" s="253" t="s">
        <v>11</v>
      </c>
      <c r="M15" s="253"/>
      <c r="N15" s="254"/>
      <c r="O15" s="240" t="s">
        <v>18</v>
      </c>
      <c r="P15" s="240"/>
      <c r="Q15" s="241"/>
      <c r="U15" s="16"/>
      <c r="V15" s="16"/>
      <c r="W15" s="16"/>
      <c r="X15" s="16"/>
      <c r="Y15" s="16"/>
      <c r="Z15" s="14"/>
      <c r="AA15" s="14"/>
      <c r="AB15" s="16"/>
      <c r="AC15" s="2"/>
      <c r="AD15" s="14"/>
    </row>
    <row r="16" spans="1:54" ht="12.75" customHeight="1" thickBot="1" x14ac:dyDescent="0.25">
      <c r="A16" s="32"/>
      <c r="B16" s="191" t="s">
        <v>12</v>
      </c>
      <c r="C16" s="192" t="s">
        <v>17</v>
      </c>
      <c r="D16" s="193" t="s">
        <v>5</v>
      </c>
      <c r="E16" s="192" t="s">
        <v>6</v>
      </c>
      <c r="F16" s="117" t="s">
        <v>7</v>
      </c>
      <c r="G16" s="189" t="s">
        <v>13</v>
      </c>
      <c r="H16" s="190" t="s">
        <v>4</v>
      </c>
      <c r="I16" s="190" t="s">
        <v>5</v>
      </c>
      <c r="J16" s="189" t="s">
        <v>9</v>
      </c>
      <c r="K16" s="41" t="s">
        <v>7</v>
      </c>
      <c r="L16" s="188" t="s">
        <v>8</v>
      </c>
      <c r="M16" s="188" t="s">
        <v>10</v>
      </c>
      <c r="N16" s="124" t="s">
        <v>7</v>
      </c>
      <c r="O16" s="242"/>
      <c r="P16" s="242"/>
      <c r="Q16" s="243"/>
      <c r="U16" s="19"/>
      <c r="V16" s="19"/>
      <c r="W16" s="19"/>
      <c r="X16" s="19"/>
      <c r="Y16" s="19"/>
      <c r="Z16" s="21"/>
      <c r="AA16" s="21"/>
      <c r="AB16" s="19"/>
      <c r="AC16" s="2"/>
      <c r="AD16" s="21"/>
    </row>
    <row r="17" spans="1:30" ht="12.75" customHeight="1" x14ac:dyDescent="0.2">
      <c r="A17" s="32"/>
      <c r="B17" s="118" t="str">
        <f>IFERROR(INDEX(PUXADOR!$A:$A,MATCH(D17,PUXADOR!$B:$B,0)),"")</f>
        <v xml:space="preserve">014366              </v>
      </c>
      <c r="C17" s="178">
        <v>1.8140000000000001</v>
      </c>
      <c r="D17" s="99" t="s">
        <v>354</v>
      </c>
      <c r="E17" s="38">
        <f>IFERROR(VLOOKUP(B17,PUXADOR!$A:$C,3,0),"")</f>
        <v>41.5</v>
      </c>
      <c r="F17" s="107">
        <f>IFERROR(C17*E17,"")</f>
        <v>75.281000000000006</v>
      </c>
      <c r="G17" s="113">
        <f>C17</f>
        <v>1.8140000000000001</v>
      </c>
      <c r="H17" s="42" t="str">
        <f>IFERROR(INDEX(BaseExtra[Código],MATCH(I17,BaseExtra[Item],0)),"")</f>
        <v/>
      </c>
      <c r="I17" s="95"/>
      <c r="J17" s="38" t="str">
        <f>IFERROR(VLOOKUP(H17,BaseExtra[],3,0),"")</f>
        <v/>
      </c>
      <c r="K17" s="107" t="str">
        <f>IFERROR(E6*F6*J17,"")</f>
        <v/>
      </c>
      <c r="L17" s="92">
        <v>0</v>
      </c>
      <c r="M17" s="126">
        <f>SUM(H6,M6,Q6,F17,K17,EXTRAS!$C$11)</f>
        <v>393.36099999999999</v>
      </c>
      <c r="N17" s="104">
        <f>PRODUCT(L17,M17)</f>
        <v>0</v>
      </c>
      <c r="O17" s="234">
        <f>SUM(N17:N24)</f>
        <v>60</v>
      </c>
      <c r="P17" s="234"/>
      <c r="Q17" s="235"/>
      <c r="U17" s="19"/>
      <c r="V17" s="19"/>
      <c r="W17" s="19"/>
      <c r="X17" s="19"/>
      <c r="Y17" s="19"/>
      <c r="Z17" s="21"/>
      <c r="AA17" s="21"/>
      <c r="AB17" s="19"/>
      <c r="AC17" s="2"/>
      <c r="AD17" s="21"/>
    </row>
    <row r="18" spans="1:30" ht="12.75" customHeight="1" x14ac:dyDescent="0.2">
      <c r="A18" s="32"/>
      <c r="B18" s="77" t="str">
        <f>IFERROR(INDEX(PUXADOR!$A:$A,MATCH(D18,PUXADOR!$B:$B,0)),"")</f>
        <v xml:space="preserve">002468              </v>
      </c>
      <c r="C18" s="179">
        <v>0.15</v>
      </c>
      <c r="D18" s="98" t="s">
        <v>375</v>
      </c>
      <c r="E18" s="35">
        <f>IFERROR(VLOOKUP(B18,PUXADOR!$A:$C,3,0),"")</f>
        <v>25.6</v>
      </c>
      <c r="F18" s="108">
        <f t="shared" ref="F18:F24" si="5">IFERROR(C18*E18,"")</f>
        <v>3.84</v>
      </c>
      <c r="G18" s="114">
        <f>C18</f>
        <v>0.15</v>
      </c>
      <c r="H18" s="36" t="str">
        <f>IFERROR(INDEX(BaseExtra[Código],MATCH(I18,BaseExtra[Item],0)),"")</f>
        <v/>
      </c>
      <c r="I18" s="96"/>
      <c r="J18" s="35" t="str">
        <f>IFERROR(VLOOKUP(H18,BaseExtra[],3,0),"")</f>
        <v/>
      </c>
      <c r="K18" s="108" t="str">
        <f t="shared" ref="K18:K24" si="6">IFERROR(E7*F7*J18,"")</f>
        <v/>
      </c>
      <c r="L18" s="93">
        <v>0</v>
      </c>
      <c r="M18" s="39">
        <f>SUM(H7,M7,Q7,F18,K18,EXTRAS!$C$11)</f>
        <v>453.83835000000005</v>
      </c>
      <c r="N18" s="105">
        <f t="shared" ref="N18:N24" si="7">PRODUCT(L18,M18)</f>
        <v>0</v>
      </c>
      <c r="O18" s="236"/>
      <c r="P18" s="236"/>
      <c r="Q18" s="237"/>
    </row>
    <row r="19" spans="1:30" ht="12.75" customHeight="1" x14ac:dyDescent="0.2">
      <c r="A19" s="32"/>
      <c r="B19" s="77" t="str">
        <f>IFERROR(INDEX(PUXADOR!$A:$A,MATCH(D19,PUXADOR!$B:$B,0)),"")</f>
        <v xml:space="preserve">007107              </v>
      </c>
      <c r="C19" s="179">
        <v>1.23</v>
      </c>
      <c r="D19" s="98" t="s">
        <v>370</v>
      </c>
      <c r="E19" s="35">
        <f>IFERROR(VLOOKUP(B19,PUXADOR!$A:$C,3,0),"")</f>
        <v>30.1</v>
      </c>
      <c r="F19" s="108">
        <f t="shared" si="5"/>
        <v>37.023000000000003</v>
      </c>
      <c r="G19" s="114">
        <f t="shared" ref="G19:G24" si="8">C19</f>
        <v>1.23</v>
      </c>
      <c r="H19" s="36" t="str">
        <f>IFERROR(INDEX(BaseExtra[Código],MATCH(I19,BaseExtra[Item],0)),"")</f>
        <v/>
      </c>
      <c r="I19" s="96"/>
      <c r="J19" s="35" t="str">
        <f>IFERROR(VLOOKUP(H19,BaseExtra[],3,0),"")</f>
        <v/>
      </c>
      <c r="K19" s="108" t="str">
        <f t="shared" si="6"/>
        <v/>
      </c>
      <c r="L19" s="93">
        <v>0</v>
      </c>
      <c r="M19" s="39">
        <f>SUM(H8,M8,Q8,F19,K19,EXTRAS!$C$11)</f>
        <v>688.7177666</v>
      </c>
      <c r="N19" s="105">
        <f t="shared" si="7"/>
        <v>0</v>
      </c>
      <c r="O19" s="236"/>
      <c r="P19" s="236"/>
      <c r="Q19" s="237"/>
      <c r="V19" s="15"/>
      <c r="W19" s="15"/>
      <c r="Y19" s="1"/>
      <c r="AB19" s="15"/>
      <c r="AC19" s="15"/>
    </row>
    <row r="20" spans="1:30" ht="12.75" customHeight="1" x14ac:dyDescent="0.2">
      <c r="A20" s="32"/>
      <c r="B20" s="77" t="str">
        <f>IFERROR(INDEX(PUXADOR!$A:$A,MATCH(D20,PUXADOR!$B:$B,0)),"")</f>
        <v xml:space="preserve">007107              </v>
      </c>
      <c r="C20" s="179">
        <v>1.23</v>
      </c>
      <c r="D20" s="98" t="s">
        <v>370</v>
      </c>
      <c r="E20" s="35">
        <f>IFERROR(VLOOKUP(B20,PUXADOR!$A:$C,3,0),"")</f>
        <v>30.1</v>
      </c>
      <c r="F20" s="108">
        <f t="shared" si="5"/>
        <v>37.023000000000003</v>
      </c>
      <c r="G20" s="114">
        <f t="shared" si="8"/>
        <v>1.23</v>
      </c>
      <c r="H20" s="36" t="str">
        <f>IFERROR(INDEX(BaseExtra[Código],MATCH(I20,BaseExtra[Item],0)),"")</f>
        <v/>
      </c>
      <c r="I20" s="96"/>
      <c r="J20" s="35" t="str">
        <f>IFERROR(VLOOKUP(H20,BaseExtra[],3,0),"")</f>
        <v/>
      </c>
      <c r="K20" s="108" t="str">
        <f t="shared" si="6"/>
        <v/>
      </c>
      <c r="L20" s="93">
        <v>0</v>
      </c>
      <c r="M20" s="39">
        <f>SUM(H9,M9,Q9,F20,K20,EXTRAS!$C$11)</f>
        <v>752.92197374000011</v>
      </c>
      <c r="N20" s="105">
        <f t="shared" si="7"/>
        <v>0</v>
      </c>
      <c r="O20" s="236"/>
      <c r="P20" s="236"/>
      <c r="Q20" s="237"/>
      <c r="V20" s="15"/>
      <c r="W20" s="15"/>
      <c r="Y20" s="1"/>
      <c r="AB20" s="15"/>
      <c r="AC20" s="15"/>
    </row>
    <row r="21" spans="1:30" ht="12.75" customHeight="1" x14ac:dyDescent="0.2">
      <c r="A21" s="32"/>
      <c r="B21" s="77" t="str">
        <f>IFERROR(INDEX(PUXADOR!$A:$A,MATCH(D21,PUXADOR!$B:$B,0)),"")</f>
        <v xml:space="preserve">007107              </v>
      </c>
      <c r="C21" s="179">
        <v>1.23</v>
      </c>
      <c r="D21" s="98" t="s">
        <v>370</v>
      </c>
      <c r="E21" s="35">
        <f>IFERROR(VLOOKUP(B21,PUXADOR!$A:$C,3,0),"")</f>
        <v>30.1</v>
      </c>
      <c r="F21" s="108">
        <f t="shared" si="5"/>
        <v>37.023000000000003</v>
      </c>
      <c r="G21" s="114">
        <f t="shared" si="8"/>
        <v>1.23</v>
      </c>
      <c r="H21" s="36" t="str">
        <f>IFERROR(INDEX(BaseExtra[Código],MATCH(I21,BaseExtra[Item],0)),"")</f>
        <v/>
      </c>
      <c r="I21" s="96"/>
      <c r="J21" s="35" t="str">
        <f>IFERROR(VLOOKUP(H21,BaseExtra[],3,0),"")</f>
        <v/>
      </c>
      <c r="K21" s="108" t="str">
        <f t="shared" si="6"/>
        <v/>
      </c>
      <c r="L21" s="93">
        <v>0</v>
      </c>
      <c r="M21" s="39">
        <f>SUM(H10,M10,Q10,F21,K21,EXTRAS!$C$11)</f>
        <v>408.29589044000005</v>
      </c>
      <c r="N21" s="105">
        <f t="shared" si="7"/>
        <v>0</v>
      </c>
      <c r="O21" s="236"/>
      <c r="P21" s="236"/>
      <c r="Q21" s="237"/>
      <c r="V21" s="15"/>
      <c r="W21" s="15"/>
      <c r="Y21" s="1"/>
      <c r="AB21" s="15"/>
      <c r="AC21" s="15"/>
    </row>
    <row r="22" spans="1:30" ht="12.75" customHeight="1" x14ac:dyDescent="0.2">
      <c r="A22" s="32"/>
      <c r="B22" s="77" t="str">
        <f>IFERROR(INDEX(PUXADOR!$A:$A,MATCH(D22,PUXADOR!$B:$B,0)),"")</f>
        <v xml:space="preserve">007107              </v>
      </c>
      <c r="C22" s="179">
        <v>1.25</v>
      </c>
      <c r="D22" s="98" t="s">
        <v>370</v>
      </c>
      <c r="E22" s="35">
        <f>IFERROR(VLOOKUP(B22,PUXADOR!$A:$C,3,0),"")</f>
        <v>30.1</v>
      </c>
      <c r="F22" s="108">
        <f t="shared" si="5"/>
        <v>37.625</v>
      </c>
      <c r="G22" s="114">
        <f t="shared" si="8"/>
        <v>1.25</v>
      </c>
      <c r="H22" s="36">
        <f>IFERROR(INDEX(BaseExtra[Código],MATCH(I22,BaseExtra[Item],0)),"")</f>
        <v>1</v>
      </c>
      <c r="I22" s="96" t="s">
        <v>64</v>
      </c>
      <c r="J22" s="35">
        <f>IFERROR(VLOOKUP(H22,BaseExtra[],3,0),"")</f>
        <v>25</v>
      </c>
      <c r="K22" s="108">
        <f t="shared" si="6"/>
        <v>30.86045</v>
      </c>
      <c r="L22" s="93">
        <v>0</v>
      </c>
      <c r="M22" s="39">
        <f>SUM(H11,M11,Q11,F22,K22,EXTRAS!$C$11)</f>
        <v>561.28169476000005</v>
      </c>
      <c r="N22" s="105">
        <f t="shared" si="7"/>
        <v>0</v>
      </c>
      <c r="O22" s="236"/>
      <c r="P22" s="236"/>
      <c r="Q22" s="237"/>
      <c r="V22" s="15"/>
      <c r="W22" s="15"/>
      <c r="Y22" s="1"/>
      <c r="AB22" s="15"/>
      <c r="AC22" s="15"/>
    </row>
    <row r="23" spans="1:30" ht="12.75" customHeight="1" x14ac:dyDescent="0.2">
      <c r="A23" s="32"/>
      <c r="B23" s="77" t="str">
        <f>IFERROR(INDEX(PUXADOR!$A:$A,MATCH(D23,PUXADOR!$B:$B,0)),"")</f>
        <v/>
      </c>
      <c r="C23" s="179"/>
      <c r="D23" s="98"/>
      <c r="E23" s="35" t="str">
        <f>IFERROR(VLOOKUP(B23,PUXADOR!$A:$C,3,0),"")</f>
        <v/>
      </c>
      <c r="F23" s="108" t="str">
        <f t="shared" si="5"/>
        <v/>
      </c>
      <c r="G23" s="114">
        <f t="shared" si="8"/>
        <v>0</v>
      </c>
      <c r="H23" s="36" t="str">
        <f>IFERROR(INDEX(BaseExtra[Código],MATCH(I23,BaseExtra[Item],0)),"")</f>
        <v/>
      </c>
      <c r="I23" s="96"/>
      <c r="J23" s="35" t="str">
        <f>IFERROR(VLOOKUP(H23,BaseExtra[],3,0),"")</f>
        <v/>
      </c>
      <c r="K23" s="108" t="str">
        <f t="shared" si="6"/>
        <v/>
      </c>
      <c r="L23" s="93">
        <v>0</v>
      </c>
      <c r="M23" s="39">
        <f>SUM(H12,M12,Q12,F23,K23,EXTRAS!$C$11)</f>
        <v>60</v>
      </c>
      <c r="N23" s="105">
        <f t="shared" si="7"/>
        <v>0</v>
      </c>
      <c r="O23" s="236"/>
      <c r="P23" s="236"/>
      <c r="Q23" s="237"/>
      <c r="V23" s="15"/>
      <c r="W23" s="15"/>
      <c r="Y23" s="1"/>
      <c r="AB23" s="15"/>
      <c r="AC23" s="15"/>
    </row>
    <row r="24" spans="1:30" ht="14.25" customHeight="1" thickBot="1" x14ac:dyDescent="0.25">
      <c r="A24" s="32"/>
      <c r="B24" s="78" t="str">
        <f>IFERROR(INDEX(PUXADOR!$A:$A,MATCH(D24,PUXADOR!$B:$B,0)),"")</f>
        <v/>
      </c>
      <c r="C24" s="180"/>
      <c r="D24" s="181"/>
      <c r="E24" s="43" t="str">
        <f>IFERROR(VLOOKUP(B24,PUXADOR!$A:$C,3,0),"")</f>
        <v/>
      </c>
      <c r="F24" s="109" t="str">
        <f t="shared" si="5"/>
        <v/>
      </c>
      <c r="G24" s="115">
        <f t="shared" si="8"/>
        <v>0</v>
      </c>
      <c r="H24" s="116" t="str">
        <f>IFERROR(INDEX(BaseExtra[Código],MATCH(I24,BaseExtra[Item],0)),"")</f>
        <v/>
      </c>
      <c r="I24" s="97"/>
      <c r="J24" s="43" t="str">
        <f>IFERROR(VLOOKUP(H24,BaseExtra[],3,0),"")</f>
        <v/>
      </c>
      <c r="K24" s="109" t="str">
        <f t="shared" si="6"/>
        <v/>
      </c>
      <c r="L24" s="94"/>
      <c r="M24" s="44">
        <f>SUM(H13,M13,Q13,F24,K24,EXTRAS!$C$11)</f>
        <v>60</v>
      </c>
      <c r="N24" s="106">
        <f t="shared" si="7"/>
        <v>60</v>
      </c>
      <c r="O24" s="238"/>
      <c r="P24" s="238"/>
      <c r="Q24" s="239"/>
    </row>
    <row r="25" spans="1:30" ht="12.75" customHeight="1" x14ac:dyDescent="0.2">
      <c r="A25" s="32"/>
      <c r="B25" s="4"/>
      <c r="C25" s="4"/>
      <c r="D25" s="4"/>
      <c r="E25" s="5"/>
      <c r="F25" s="6"/>
      <c r="G25" s="13"/>
      <c r="H25" s="7"/>
      <c r="I25" s="7"/>
      <c r="J25" s="7"/>
      <c r="K25" s="7"/>
      <c r="L25" s="7"/>
      <c r="M25" s="7"/>
      <c r="N25" s="7"/>
      <c r="O25" s="4"/>
      <c r="P25" s="4"/>
      <c r="Q25" s="4"/>
    </row>
    <row r="26" spans="1:30" x14ac:dyDescent="0.2">
      <c r="A26" s="32"/>
      <c r="B26" s="83" t="s">
        <v>108</v>
      </c>
      <c r="H26" s="19"/>
      <c r="I26" s="19"/>
      <c r="J26" s="19"/>
      <c r="K26" s="16"/>
      <c r="L26" s="16"/>
      <c r="M26" s="16"/>
      <c r="N26" s="16"/>
      <c r="O26" s="14"/>
    </row>
    <row r="27" spans="1:30" hidden="1" x14ac:dyDescent="0.2">
      <c r="A27" s="32"/>
      <c r="H27" s="19"/>
      <c r="I27" s="19"/>
      <c r="J27" s="19"/>
      <c r="K27" s="16"/>
      <c r="L27" s="16"/>
      <c r="M27" s="16"/>
      <c r="N27" s="16"/>
      <c r="O27" s="14"/>
    </row>
    <row r="28" spans="1:30" hidden="1" x14ac:dyDescent="0.2">
      <c r="A28" s="32"/>
      <c r="L28" s="19"/>
      <c r="M28" s="19"/>
      <c r="N28" s="19"/>
      <c r="O28" s="21"/>
    </row>
    <row r="29" spans="1:30" hidden="1" x14ac:dyDescent="0.2">
      <c r="A29" s="32"/>
      <c r="L29" s="19"/>
      <c r="M29" s="19"/>
      <c r="N29" s="19"/>
      <c r="O29" s="21"/>
    </row>
  </sheetData>
  <sheetProtection sheet="1" objects="1" scenarios="1" selectLockedCells="1"/>
  <mergeCells count="9">
    <mergeCell ref="B3:Q3"/>
    <mergeCell ref="O17:Q24"/>
    <mergeCell ref="O15:Q16"/>
    <mergeCell ref="H15:K15"/>
    <mergeCell ref="B4:H4"/>
    <mergeCell ref="I4:M4"/>
    <mergeCell ref="N4:Q4"/>
    <mergeCell ref="B15:F15"/>
    <mergeCell ref="L15:N15"/>
  </mergeCells>
  <dataValidations count="5">
    <dataValidation type="list" allowBlank="1" showInputMessage="1" showErrorMessage="1" sqref="C6:C13">
      <formula1>INDIRECT($B$4)</formula1>
    </dataValidation>
    <dataValidation type="list" allowBlank="1" showInputMessage="1" showErrorMessage="1" sqref="J6:J13">
      <formula1>INDIRECT($I$4)</formula1>
    </dataValidation>
    <dataValidation type="list" allowBlank="1" showInputMessage="1" showErrorMessage="1" sqref="O6:O13">
      <formula1>INDIRECT($N$4)</formula1>
    </dataValidation>
    <dataValidation type="list" allowBlank="1" showInputMessage="1" showErrorMessage="1" sqref="D17:D24">
      <formula1>INDIRECT($B$15)</formula1>
    </dataValidation>
    <dataValidation type="list" allowBlank="1" showInputMessage="1" showErrorMessage="1" sqref="I17:I24">
      <formula1>INDIRECT($B$26)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ignoredErrors>
    <ignoredError sqref="M7:M13 F17 K17 M6 F19:F24 K18 K19 K20 K21 K22 K23 K24" unlocked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C29"/>
  <sheetViews>
    <sheetView zoomScale="85" zoomScaleNormal="85" workbookViewId="0">
      <selection activeCell="C6" sqref="C6"/>
    </sheetView>
  </sheetViews>
  <sheetFormatPr defaultColWidth="0" defaultRowHeight="12.75" customHeight="1" zeroHeight="1" x14ac:dyDescent="0.2"/>
  <cols>
    <col min="1" max="1" width="1.85546875" style="31" customWidth="1"/>
    <col min="2" max="2" width="8.7109375" style="15" customWidth="1"/>
    <col min="3" max="3" width="20.7109375" style="15" customWidth="1"/>
    <col min="4" max="4" width="26.5703125" style="15" customWidth="1"/>
    <col min="5" max="5" width="9.28515625" style="24" customWidth="1"/>
    <col min="6" max="6" width="9.28515625" style="18" customWidth="1"/>
    <col min="7" max="7" width="8.42578125" style="18" customWidth="1"/>
    <col min="8" max="8" width="9.140625" style="20" bestFit="1" customWidth="1"/>
    <col min="9" max="9" width="16.85546875" style="20" customWidth="1"/>
    <col min="10" max="10" width="23.140625" style="20" customWidth="1"/>
    <col min="11" max="11" width="11.5703125" style="20" customWidth="1"/>
    <col min="12" max="12" width="8.5703125" style="20" customWidth="1"/>
    <col min="13" max="13" width="11.7109375" style="20" customWidth="1"/>
    <col min="14" max="14" width="14.140625" style="20" customWidth="1"/>
    <col min="15" max="15" width="19.28515625" style="15" customWidth="1"/>
    <col min="16" max="16" width="9.7109375" style="15" customWidth="1"/>
    <col min="17" max="17" width="12" style="15" customWidth="1"/>
    <col min="18" max="18" width="7.5703125" style="20" bestFit="1" customWidth="1"/>
    <col min="19" max="19" width="9.28515625" style="48" hidden="1"/>
    <col min="20" max="20" width="6.28515625" style="20" hidden="1"/>
    <col min="21" max="21" width="6.140625" style="20" hidden="1"/>
    <col min="22" max="22" width="17.7109375" style="20" hidden="1"/>
    <col min="23" max="23" width="7.28515625" style="20" hidden="1"/>
    <col min="24" max="25" width="7.140625" style="20" hidden="1"/>
    <col min="26" max="26" width="5.7109375" style="15" hidden="1"/>
    <col min="27" max="27" width="9.140625" style="15" hidden="1"/>
    <col min="28" max="28" width="9.42578125" style="20" hidden="1"/>
    <col min="29" max="29" width="1.5703125" style="1" hidden="1"/>
    <col min="30" max="54" width="0" style="15" hidden="1"/>
    <col min="55" max="16382" width="9.140625" style="15" hidden="1"/>
    <col min="16383" max="16383" width="13" style="15" hidden="1" customWidth="1"/>
    <col min="16384" max="16384" width="7.85546875" style="15" hidden="1" customWidth="1"/>
  </cols>
  <sheetData>
    <row r="1" spans="1:54" s="1" customFormat="1" ht="3" customHeight="1" x14ac:dyDescent="0.2">
      <c r="A1" s="31"/>
      <c r="E1" s="11"/>
      <c r="F1" s="22"/>
      <c r="G1" s="22"/>
      <c r="H1" s="9"/>
      <c r="I1" s="9"/>
      <c r="J1" s="9"/>
      <c r="K1" s="9"/>
      <c r="L1" s="9"/>
      <c r="M1" s="9"/>
      <c r="N1" s="9"/>
      <c r="R1" s="9"/>
      <c r="S1" s="45"/>
      <c r="T1" s="9"/>
      <c r="U1" s="9"/>
      <c r="V1" s="9"/>
      <c r="W1" s="9"/>
      <c r="X1" s="9"/>
      <c r="Y1" s="9"/>
      <c r="AB1" s="9"/>
    </row>
    <row r="2" spans="1:54" s="1" customFormat="1" ht="3.75" customHeight="1" thickBot="1" x14ac:dyDescent="0.25">
      <c r="A2" s="32"/>
      <c r="B2" s="2"/>
      <c r="C2" s="2"/>
      <c r="D2" s="2"/>
      <c r="E2" s="10"/>
      <c r="F2" s="22"/>
      <c r="G2" s="22"/>
      <c r="H2" s="3"/>
      <c r="I2" s="3"/>
      <c r="J2" s="3"/>
      <c r="K2" s="3"/>
      <c r="L2" s="3"/>
      <c r="M2" s="3"/>
      <c r="N2" s="3"/>
      <c r="O2" s="2"/>
      <c r="P2" s="2"/>
      <c r="Q2" s="2"/>
      <c r="R2" s="3"/>
      <c r="S2" s="46"/>
      <c r="T2" s="3"/>
      <c r="U2" s="3"/>
      <c r="V2" s="3"/>
      <c r="W2" s="3"/>
      <c r="X2" s="3"/>
      <c r="Y2" s="3"/>
      <c r="Z2" s="2"/>
      <c r="AA2" s="2"/>
      <c r="AB2" s="3"/>
      <c r="AC2" s="2"/>
      <c r="AD2" s="2"/>
    </row>
    <row r="3" spans="1:54" ht="18.75" customHeight="1" thickBot="1" x14ac:dyDescent="0.25">
      <c r="A3" s="32"/>
      <c r="B3" s="231" t="s">
        <v>418</v>
      </c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3"/>
      <c r="S3" s="47"/>
      <c r="T3" s="7"/>
      <c r="U3" s="7"/>
      <c r="V3" s="4"/>
      <c r="W3" s="4"/>
      <c r="X3" s="8"/>
      <c r="Y3" s="2"/>
      <c r="Z3" s="14"/>
      <c r="AB3" s="15"/>
      <c r="AC3" s="15"/>
    </row>
    <row r="4" spans="1:54" s="17" customFormat="1" ht="12.75" customHeight="1" thickBot="1" x14ac:dyDescent="0.25">
      <c r="A4" s="32"/>
      <c r="B4" s="245" t="s">
        <v>3</v>
      </c>
      <c r="C4" s="246"/>
      <c r="D4" s="246"/>
      <c r="E4" s="246"/>
      <c r="F4" s="246"/>
      <c r="G4" s="246"/>
      <c r="H4" s="247"/>
      <c r="I4" s="245" t="s">
        <v>2</v>
      </c>
      <c r="J4" s="246"/>
      <c r="K4" s="246"/>
      <c r="L4" s="246"/>
      <c r="M4" s="248"/>
      <c r="N4" s="249" t="s">
        <v>107</v>
      </c>
      <c r="O4" s="250"/>
      <c r="P4" s="250"/>
      <c r="Q4" s="251"/>
      <c r="R4" s="20"/>
      <c r="S4" s="47"/>
      <c r="T4" s="7"/>
      <c r="U4" s="7"/>
      <c r="V4" s="4"/>
      <c r="W4" s="4"/>
      <c r="X4" s="8"/>
      <c r="Y4" s="2"/>
      <c r="Z4" s="14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</row>
    <row r="5" spans="1:54" ht="13.5" thickBot="1" x14ac:dyDescent="0.25">
      <c r="A5" s="32"/>
      <c r="B5" s="182" t="s">
        <v>4</v>
      </c>
      <c r="C5" s="183" t="s">
        <v>5</v>
      </c>
      <c r="D5" s="183" t="s">
        <v>63</v>
      </c>
      <c r="E5" s="184" t="s">
        <v>0</v>
      </c>
      <c r="F5" s="185" t="s">
        <v>1</v>
      </c>
      <c r="G5" s="185" t="s">
        <v>13</v>
      </c>
      <c r="H5" s="86" t="s">
        <v>7</v>
      </c>
      <c r="I5" s="186" t="s">
        <v>12</v>
      </c>
      <c r="J5" s="186" t="s">
        <v>5</v>
      </c>
      <c r="K5" s="186" t="s">
        <v>15</v>
      </c>
      <c r="L5" s="186" t="s">
        <v>6</v>
      </c>
      <c r="M5" s="86" t="s">
        <v>7</v>
      </c>
      <c r="N5" s="183" t="s">
        <v>4</v>
      </c>
      <c r="O5" s="183" t="s">
        <v>5</v>
      </c>
      <c r="P5" s="183" t="s">
        <v>9</v>
      </c>
      <c r="Q5" s="119" t="s">
        <v>7</v>
      </c>
      <c r="R5" s="187" t="s">
        <v>24</v>
      </c>
      <c r="S5" s="47"/>
      <c r="T5" s="7"/>
      <c r="U5" s="7"/>
      <c r="V5" s="4"/>
      <c r="W5" s="4"/>
      <c r="X5" s="8"/>
      <c r="Y5" s="2"/>
      <c r="Z5" s="14"/>
      <c r="AB5" s="15"/>
      <c r="AC5" s="15"/>
    </row>
    <row r="6" spans="1:54" x14ac:dyDescent="0.2">
      <c r="A6" s="32">
        <v>39</v>
      </c>
      <c r="B6" s="118" t="str">
        <f>IFERROR(INDEX(PERFIl!$A:$A,MATCH(C6,PERFIl!$B:$B,0)),"")</f>
        <v xml:space="preserve">003525              </v>
      </c>
      <c r="C6" s="89" t="s">
        <v>198</v>
      </c>
      <c r="D6" s="38">
        <f>IFERROR(VLOOKUP(B6,PERFIl!$A:$C,3,0),"")</f>
        <v>61.7</v>
      </c>
      <c r="E6" s="89">
        <v>0.4</v>
      </c>
      <c r="F6" s="89">
        <v>2</v>
      </c>
      <c r="G6" s="111">
        <f>((E6*2)+(F6))</f>
        <v>2.8</v>
      </c>
      <c r="H6" s="101">
        <f>IFERROR(((E6*2)+(F6))*(D6),"")</f>
        <v>172.76</v>
      </c>
      <c r="I6" s="79" t="str">
        <f>IFERROR(INDEX(DIVISORES!$A:$A,MATCH(J6,DIVISORES!$B:$B,0)),"")</f>
        <v/>
      </c>
      <c r="J6" s="89"/>
      <c r="K6" s="89">
        <v>2</v>
      </c>
      <c r="L6" s="38" t="str">
        <f>IFERROR(VLOOKUP(I6,BaseDivisores[[Codigo]:[Preço]],3,0),"")</f>
        <v/>
      </c>
      <c r="M6" s="101" t="str">
        <f>IFERROR((E6*K6*L6),"")</f>
        <v/>
      </c>
      <c r="N6" s="81" t="str">
        <f>IFERROR(INDEX(BASE_VIDROS!$A:$A,MATCH(O6,BASE_VIDROS!$B:$B,0)),"")</f>
        <v xml:space="preserve">006250              </v>
      </c>
      <c r="O6" s="89" t="s">
        <v>101</v>
      </c>
      <c r="P6" s="58">
        <f>IFERROR(VLOOKUP(N6,BaseVidros[[Codigo]:[Preço]],3,0),"")</f>
        <v>109</v>
      </c>
      <c r="Q6" s="120">
        <f>IFERROR(E6*F6*P6,"")</f>
        <v>87.2</v>
      </c>
      <c r="R6" s="123">
        <f t="shared" ref="R6:R13" si="0">E6*F6</f>
        <v>0.8</v>
      </c>
      <c r="S6" s="47"/>
      <c r="T6" s="7"/>
      <c r="U6" s="7"/>
      <c r="V6" s="4"/>
      <c r="W6" s="4"/>
      <c r="X6" s="8"/>
      <c r="Y6" s="2"/>
      <c r="Z6" s="14"/>
      <c r="AB6" s="15"/>
      <c r="AC6" s="15"/>
    </row>
    <row r="7" spans="1:54" s="23" customFormat="1" x14ac:dyDescent="0.2">
      <c r="A7" s="32">
        <v>57</v>
      </c>
      <c r="B7" s="77" t="str">
        <f>IFERROR(INDEX(PERFIl!$A:$A,MATCH(C7,PERFIl!$B:$B,0)),"")</f>
        <v xml:space="preserve">003525              </v>
      </c>
      <c r="C7" s="90" t="s">
        <v>198</v>
      </c>
      <c r="D7" s="35">
        <f>IFERROR(VLOOKUP(B7,PERFIl!$A:$C,3,0),"")</f>
        <v>61.7</v>
      </c>
      <c r="E7" s="90">
        <v>0.9</v>
      </c>
      <c r="F7" s="90">
        <v>0.56000000000000005</v>
      </c>
      <c r="G7" s="111">
        <f t="shared" ref="G7:G13" si="1">((E7*2)+(F7))</f>
        <v>2.3600000000000003</v>
      </c>
      <c r="H7" s="102">
        <f t="shared" ref="H7:H13" si="2">IFERROR(((E7*2)+(F7))*(D7),"")</f>
        <v>145.61200000000002</v>
      </c>
      <c r="I7" s="80" t="str">
        <f>IFERROR(INDEX(DIVISORES!$A:$A,MATCH(J7,DIVISORES!$B:$B,0)),"")</f>
        <v/>
      </c>
      <c r="J7" s="90"/>
      <c r="K7" s="90">
        <v>1</v>
      </c>
      <c r="L7" s="35" t="str">
        <f>IFERROR(VLOOKUP(I7,BaseDivisores[[Codigo]:[Preço]],3,0),"")</f>
        <v/>
      </c>
      <c r="M7" s="102" t="str">
        <f t="shared" ref="M7:M13" si="3">IFERROR((E7*K7*L7),"")</f>
        <v/>
      </c>
      <c r="N7" s="81" t="str">
        <f>IFERROR(INDEX(BASE_VIDROS!$A:$A,MATCH(O7,BASE_VIDROS!$B:$B,0)),"")</f>
        <v/>
      </c>
      <c r="O7" s="90" t="s">
        <v>415</v>
      </c>
      <c r="P7" s="56" t="str">
        <f>IFERROR(VLOOKUP(N7,BaseVidros[[Codigo]:[Preço]],3,0),"")</f>
        <v/>
      </c>
      <c r="Q7" s="121" t="str">
        <f>IFERROR(E7*F7*P7,"")</f>
        <v/>
      </c>
      <c r="R7" s="123">
        <f t="shared" si="0"/>
        <v>0.50400000000000011</v>
      </c>
      <c r="S7" s="47"/>
      <c r="T7" s="7"/>
      <c r="U7" s="7"/>
      <c r="V7" s="4"/>
      <c r="W7" s="4"/>
      <c r="X7" s="8"/>
      <c r="Y7" s="2"/>
      <c r="Z7" s="14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</row>
    <row r="8" spans="1:54" x14ac:dyDescent="0.2">
      <c r="A8" s="32">
        <v>57</v>
      </c>
      <c r="B8" s="77" t="str">
        <f>IFERROR(INDEX(PERFIl!$A:$A,MATCH(C8,PERFIl!$B:$B,0)),"")</f>
        <v xml:space="preserve">011096              </v>
      </c>
      <c r="C8" s="90" t="s">
        <v>448</v>
      </c>
      <c r="D8" s="35">
        <f>IFERROR(VLOOKUP(B8,PERFIl!$A:$C,3,0),"")</f>
        <v>44.25</v>
      </c>
      <c r="E8" s="90">
        <v>0.56499999999999995</v>
      </c>
      <c r="F8" s="90">
        <v>2.36</v>
      </c>
      <c r="G8" s="111">
        <f t="shared" si="1"/>
        <v>3.4899999999999998</v>
      </c>
      <c r="H8" s="102">
        <f t="shared" si="2"/>
        <v>154.43249999999998</v>
      </c>
      <c r="I8" s="80" t="str">
        <f>IFERROR(INDEX(DIVISORES!$A:$A,MATCH(J8,DIVISORES!$B:$B,0)),"")</f>
        <v/>
      </c>
      <c r="J8" s="90"/>
      <c r="K8" s="90">
        <v>1</v>
      </c>
      <c r="L8" s="35" t="str">
        <f>IFERROR(VLOOKUP(I8,BaseDivisores[[Codigo]:[Preço]],3,0),"")</f>
        <v/>
      </c>
      <c r="M8" s="102" t="str">
        <f t="shared" si="3"/>
        <v/>
      </c>
      <c r="N8" s="81" t="str">
        <f>IFERROR(INDEX(BASE_VIDROS!$A:$A,MATCH(O8,BASE_VIDROS!$B:$B,0)),"")</f>
        <v xml:space="preserve">003184              </v>
      </c>
      <c r="O8" s="90" t="s">
        <v>417</v>
      </c>
      <c r="P8" s="56">
        <f>IFERROR(VLOOKUP(N8,BaseVidros[[Codigo]:[Preço]],3,0),"")</f>
        <v>179.26</v>
      </c>
      <c r="Q8" s="121">
        <f t="shared" ref="Q8:Q13" si="4">IFERROR(E8*F8*P8,"")</f>
        <v>239.02528399999994</v>
      </c>
      <c r="R8" s="123">
        <f t="shared" si="0"/>
        <v>1.3333999999999997</v>
      </c>
      <c r="S8" s="47"/>
      <c r="T8" s="7"/>
      <c r="U8" s="7"/>
      <c r="V8" s="4"/>
      <c r="W8" s="4"/>
      <c r="X8" s="8"/>
      <c r="Y8" s="2"/>
      <c r="Z8" s="14"/>
      <c r="AB8" s="15"/>
      <c r="AC8" s="15"/>
    </row>
    <row r="9" spans="1:54" s="23" customFormat="1" x14ac:dyDescent="0.2">
      <c r="A9" s="32">
        <v>57</v>
      </c>
      <c r="B9" s="77" t="str">
        <f>IFERROR(INDEX(PERFIl!$A:$A,MATCH(C9,PERFIl!$B:$B,0)),"")</f>
        <v/>
      </c>
      <c r="C9" s="90"/>
      <c r="D9" s="35" t="str">
        <f>IFERROR(VLOOKUP(B9,PERFIl!$A:$C,3,0),"")</f>
        <v/>
      </c>
      <c r="E9" s="90"/>
      <c r="F9" s="90"/>
      <c r="G9" s="111">
        <f t="shared" si="1"/>
        <v>0</v>
      </c>
      <c r="H9" s="102" t="str">
        <f t="shared" si="2"/>
        <v/>
      </c>
      <c r="I9" s="80" t="str">
        <f>IFERROR(INDEX(DIVISORES!$A:$A,MATCH(J9,DIVISORES!$B:$B,0)),"")</f>
        <v/>
      </c>
      <c r="J9" s="90"/>
      <c r="K9" s="90">
        <v>1</v>
      </c>
      <c r="L9" s="35" t="str">
        <f>IFERROR(VLOOKUP(I9,BaseDivisores[[Codigo]:[Preço]],3,0),"")</f>
        <v/>
      </c>
      <c r="M9" s="102" t="str">
        <f t="shared" si="3"/>
        <v/>
      </c>
      <c r="N9" s="81" t="str">
        <f>IFERROR(INDEX(BASE_VIDROS!$A:$A,MATCH(O9,BASE_VIDROS!$B:$B,0)),"")</f>
        <v/>
      </c>
      <c r="O9" s="90"/>
      <c r="P9" s="56" t="str">
        <f>IFERROR(VLOOKUP(N9,BaseVidros[[Codigo]:[Preço]],3,0),"")</f>
        <v/>
      </c>
      <c r="Q9" s="121" t="str">
        <f t="shared" si="4"/>
        <v/>
      </c>
      <c r="R9" s="123">
        <f t="shared" si="0"/>
        <v>0</v>
      </c>
      <c r="S9" s="47"/>
      <c r="T9" s="7"/>
      <c r="U9" s="7"/>
      <c r="V9" s="4"/>
      <c r="W9" s="4"/>
      <c r="X9" s="8"/>
      <c r="Y9" s="2"/>
      <c r="Z9" s="14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</row>
    <row r="10" spans="1:54" x14ac:dyDescent="0.2">
      <c r="A10" s="32">
        <v>57</v>
      </c>
      <c r="B10" s="77" t="str">
        <f>IFERROR(INDEX(PERFIl!$A:$A,MATCH(C10,PERFIl!$B:$B,0)),"")</f>
        <v/>
      </c>
      <c r="C10" s="90"/>
      <c r="D10" s="35" t="str">
        <f>IFERROR(VLOOKUP(B10,PERFIl!$A:$C,3,0),"")</f>
        <v/>
      </c>
      <c r="E10" s="90"/>
      <c r="F10" s="90"/>
      <c r="G10" s="111">
        <f t="shared" si="1"/>
        <v>0</v>
      </c>
      <c r="H10" s="102" t="str">
        <f t="shared" si="2"/>
        <v/>
      </c>
      <c r="I10" s="80" t="str">
        <f>IFERROR(INDEX(DIVISORES!$A:$A,MATCH(J10,DIVISORES!$B:$B,0)),"")</f>
        <v/>
      </c>
      <c r="J10" s="90"/>
      <c r="K10" s="90">
        <v>1</v>
      </c>
      <c r="L10" s="35" t="str">
        <f>IFERROR(VLOOKUP(I10,BaseDivisores[[Codigo]:[Preço]],3,0),"")</f>
        <v/>
      </c>
      <c r="M10" s="102" t="str">
        <f t="shared" si="3"/>
        <v/>
      </c>
      <c r="N10" s="81" t="str">
        <f>IFERROR(INDEX(BASE_VIDROS!$A:$A,MATCH(O10,BASE_VIDROS!$B:$B,0)),"")</f>
        <v/>
      </c>
      <c r="O10" s="90"/>
      <c r="P10" s="56" t="str">
        <f>IFERROR(VLOOKUP(N10,BaseVidros[[Codigo]:[Preço]],3,0),"")</f>
        <v/>
      </c>
      <c r="Q10" s="121" t="str">
        <f t="shared" si="4"/>
        <v/>
      </c>
      <c r="R10" s="123">
        <f t="shared" si="0"/>
        <v>0</v>
      </c>
      <c r="S10" s="47"/>
      <c r="T10" s="7"/>
      <c r="U10" s="7"/>
      <c r="V10" s="4"/>
      <c r="W10" s="4"/>
      <c r="X10" s="8"/>
      <c r="Y10" s="2"/>
      <c r="Z10" s="14"/>
      <c r="AB10" s="15"/>
      <c r="AC10" s="15"/>
    </row>
    <row r="11" spans="1:54" s="23" customFormat="1" x14ac:dyDescent="0.2">
      <c r="A11" s="32">
        <v>57</v>
      </c>
      <c r="B11" s="77" t="str">
        <f>IFERROR(INDEX(PERFIl!$A:$A,MATCH(C11,PERFIl!$B:$B,0)),"")</f>
        <v/>
      </c>
      <c r="C11" s="90"/>
      <c r="D11" s="35" t="str">
        <f>IFERROR(VLOOKUP(B11,PERFIl!$A:$C,3,0),"")</f>
        <v/>
      </c>
      <c r="E11" s="90"/>
      <c r="F11" s="90"/>
      <c r="G11" s="111">
        <f t="shared" si="1"/>
        <v>0</v>
      </c>
      <c r="H11" s="102" t="str">
        <f t="shared" si="2"/>
        <v/>
      </c>
      <c r="I11" s="80" t="str">
        <f>IFERROR(INDEX(DIVISORES!$A:$A,MATCH(J11,DIVISORES!$B:$B,0)),"")</f>
        <v/>
      </c>
      <c r="J11" s="90"/>
      <c r="K11" s="90">
        <v>1</v>
      </c>
      <c r="L11" s="35" t="str">
        <f>IFERROR(VLOOKUP(I11,BaseDivisores[[Codigo]:[Preço]],3,0),"")</f>
        <v/>
      </c>
      <c r="M11" s="102" t="str">
        <f t="shared" si="3"/>
        <v/>
      </c>
      <c r="N11" s="81" t="str">
        <f>IFERROR(INDEX(BASE_VIDROS!$A:$A,MATCH(O11,BASE_VIDROS!$B:$B,0)),"")</f>
        <v/>
      </c>
      <c r="O11" s="90"/>
      <c r="P11" s="56" t="str">
        <f>IFERROR(VLOOKUP(N11,BaseVidros[[Codigo]:[Preço]],3,0),"")</f>
        <v/>
      </c>
      <c r="Q11" s="121" t="str">
        <f t="shared" si="4"/>
        <v/>
      </c>
      <c r="R11" s="123">
        <f t="shared" si="0"/>
        <v>0</v>
      </c>
      <c r="S11" s="47"/>
      <c r="T11" s="7"/>
      <c r="U11" s="7"/>
      <c r="V11" s="4"/>
      <c r="W11" s="4"/>
      <c r="X11" s="8"/>
      <c r="Y11" s="2"/>
      <c r="Z11" s="14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</row>
    <row r="12" spans="1:54" x14ac:dyDescent="0.2">
      <c r="A12" s="32">
        <v>57</v>
      </c>
      <c r="B12" s="77" t="str">
        <f>IFERROR(INDEX(PERFIl!$A:$A,MATCH(C12,PERFIl!$B:$B,0)),"")</f>
        <v/>
      </c>
      <c r="C12" s="90"/>
      <c r="D12" s="35" t="str">
        <f>IFERROR(VLOOKUP(B12,PERFIl!$A:$C,3,0),"")</f>
        <v/>
      </c>
      <c r="E12" s="90"/>
      <c r="F12" s="90"/>
      <c r="G12" s="111">
        <f t="shared" si="1"/>
        <v>0</v>
      </c>
      <c r="H12" s="102" t="str">
        <f t="shared" si="2"/>
        <v/>
      </c>
      <c r="I12" s="80" t="str">
        <f>IFERROR(INDEX(DIVISORES!$A:$A,MATCH(J12,DIVISORES!$B:$B,0)),"")</f>
        <v/>
      </c>
      <c r="J12" s="90"/>
      <c r="K12" s="90">
        <v>1</v>
      </c>
      <c r="L12" s="35" t="str">
        <f>IFERROR(VLOOKUP(I12,BaseDivisores[[Codigo]:[Preço]],3,0),"")</f>
        <v/>
      </c>
      <c r="M12" s="102" t="str">
        <f t="shared" si="3"/>
        <v/>
      </c>
      <c r="N12" s="81" t="str">
        <f>IFERROR(INDEX(BASE_VIDROS!$A:$A,MATCH(O12,BASE_VIDROS!$B:$B,0)),"")</f>
        <v/>
      </c>
      <c r="O12" s="90"/>
      <c r="P12" s="56" t="str">
        <f>IFERROR(VLOOKUP(N12,BaseVidros[[Codigo]:[Preço]],3,0),"")</f>
        <v/>
      </c>
      <c r="Q12" s="121" t="str">
        <f t="shared" si="4"/>
        <v/>
      </c>
      <c r="R12" s="123">
        <f t="shared" si="0"/>
        <v>0</v>
      </c>
      <c r="S12" s="47"/>
      <c r="T12" s="7"/>
      <c r="U12" s="7"/>
      <c r="V12" s="4"/>
      <c r="W12" s="4"/>
      <c r="X12" s="8"/>
      <c r="Y12" s="2"/>
      <c r="Z12" s="14"/>
      <c r="AB12" s="15"/>
      <c r="AC12" s="15"/>
    </row>
    <row r="13" spans="1:54" s="23" customFormat="1" ht="14.25" customHeight="1" thickBot="1" x14ac:dyDescent="0.25">
      <c r="A13" s="32">
        <v>57</v>
      </c>
      <c r="B13" s="78" t="str">
        <f>IFERROR(INDEX(PERFIl!$A:$A,MATCH(C13,PERFIl!$B:$B,0)),"")</f>
        <v/>
      </c>
      <c r="C13" s="91"/>
      <c r="D13" s="43" t="str">
        <f>IFERROR(VLOOKUP(B13,PERFIl!$A:$C,3,0),"")</f>
        <v/>
      </c>
      <c r="E13" s="91"/>
      <c r="F13" s="91"/>
      <c r="G13" s="111">
        <f t="shared" si="1"/>
        <v>0</v>
      </c>
      <c r="H13" s="103" t="str">
        <f t="shared" si="2"/>
        <v/>
      </c>
      <c r="I13" s="100" t="str">
        <f>IFERROR(INDEX(DIVISORES!$A:$A,MATCH(J13,DIVISORES!$B:$B,0)),"")</f>
        <v/>
      </c>
      <c r="J13" s="91"/>
      <c r="K13" s="91">
        <v>1</v>
      </c>
      <c r="L13" s="43" t="str">
        <f>IFERROR(VLOOKUP(I13,BaseDivisores[[Codigo]:[Preço]],3,0),"")</f>
        <v/>
      </c>
      <c r="M13" s="103" t="str">
        <f t="shared" si="3"/>
        <v/>
      </c>
      <c r="N13" s="82" t="str">
        <f>IFERROR(INDEX(BASE_VIDROS!$A:$A,MATCH(O13,BASE_VIDROS!$B:$B,0)),"")</f>
        <v/>
      </c>
      <c r="O13" s="91"/>
      <c r="P13" s="57" t="str">
        <f>IFERROR(VLOOKUP(N13,BaseVidros[[Codigo]:[Preço]],3,0),"")</f>
        <v/>
      </c>
      <c r="Q13" s="122" t="str">
        <f t="shared" si="4"/>
        <v/>
      </c>
      <c r="R13" s="123">
        <f t="shared" si="0"/>
        <v>0</v>
      </c>
      <c r="S13" s="47"/>
      <c r="T13" s="7"/>
      <c r="U13" s="7"/>
      <c r="V13" s="7"/>
      <c r="W13" s="7"/>
      <c r="X13" s="7"/>
      <c r="Y13" s="7"/>
      <c r="Z13" s="4"/>
      <c r="AA13" s="4"/>
      <c r="AB13" s="8"/>
      <c r="AC13" s="2"/>
      <c r="AD13" s="14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</row>
    <row r="14" spans="1:54" ht="12.75" customHeight="1" thickBot="1" x14ac:dyDescent="0.25">
      <c r="A14" s="32"/>
      <c r="B14" s="4"/>
      <c r="C14" s="4"/>
      <c r="D14" s="4"/>
      <c r="E14" s="5"/>
      <c r="F14" s="6"/>
      <c r="G14" s="13"/>
      <c r="H14" s="7"/>
      <c r="I14" s="7"/>
      <c r="J14" s="7"/>
      <c r="K14" s="7"/>
      <c r="L14" s="7"/>
      <c r="M14" s="7"/>
      <c r="N14" s="7"/>
      <c r="O14" s="4"/>
      <c r="P14" s="4"/>
      <c r="Q14" s="4"/>
      <c r="U14" s="16"/>
      <c r="V14" s="16"/>
      <c r="W14" s="16"/>
      <c r="X14" s="16"/>
      <c r="Y14" s="16"/>
      <c r="Z14" s="14"/>
      <c r="AA14" s="14"/>
      <c r="AB14" s="16"/>
      <c r="AC14" s="2"/>
      <c r="AD14" s="14"/>
    </row>
    <row r="15" spans="1:54" ht="12.75" customHeight="1" thickBot="1" x14ac:dyDescent="0.25">
      <c r="A15" s="32"/>
      <c r="B15" s="252" t="s">
        <v>109</v>
      </c>
      <c r="C15" s="244"/>
      <c r="D15" s="244"/>
      <c r="E15" s="244"/>
      <c r="F15" s="253"/>
      <c r="G15" s="40" t="s">
        <v>23</v>
      </c>
      <c r="H15" s="244" t="s">
        <v>31</v>
      </c>
      <c r="I15" s="244"/>
      <c r="J15" s="244"/>
      <c r="K15" s="244"/>
      <c r="L15" s="253" t="s">
        <v>11</v>
      </c>
      <c r="M15" s="253"/>
      <c r="N15" s="254"/>
      <c r="O15" s="240" t="s">
        <v>18</v>
      </c>
      <c r="P15" s="240"/>
      <c r="Q15" s="241"/>
      <c r="U15" s="16"/>
      <c r="V15" s="16"/>
      <c r="W15" s="16"/>
      <c r="X15" s="16"/>
      <c r="Y15" s="16"/>
      <c r="Z15" s="14"/>
      <c r="AA15" s="14"/>
      <c r="AB15" s="16"/>
      <c r="AC15" s="2"/>
      <c r="AD15" s="14"/>
    </row>
    <row r="16" spans="1:54" ht="12.75" customHeight="1" thickBot="1" x14ac:dyDescent="0.25">
      <c r="A16" s="32"/>
      <c r="B16" s="191" t="s">
        <v>12</v>
      </c>
      <c r="C16" s="195" t="s">
        <v>17</v>
      </c>
      <c r="D16" s="194" t="s">
        <v>5</v>
      </c>
      <c r="E16" s="192" t="s">
        <v>6</v>
      </c>
      <c r="F16" s="117" t="s">
        <v>7</v>
      </c>
      <c r="G16" s="189" t="s">
        <v>13</v>
      </c>
      <c r="H16" s="190" t="s">
        <v>4</v>
      </c>
      <c r="I16" s="190" t="s">
        <v>5</v>
      </c>
      <c r="J16" s="189" t="s">
        <v>9</v>
      </c>
      <c r="K16" s="41" t="s">
        <v>7</v>
      </c>
      <c r="L16" s="188" t="s">
        <v>8</v>
      </c>
      <c r="M16" s="188" t="s">
        <v>10</v>
      </c>
      <c r="N16" s="124" t="s">
        <v>7</v>
      </c>
      <c r="O16" s="242"/>
      <c r="P16" s="242"/>
      <c r="Q16" s="243"/>
      <c r="U16" s="19"/>
      <c r="V16" s="19"/>
      <c r="W16" s="19"/>
      <c r="X16" s="19"/>
      <c r="Y16" s="19"/>
      <c r="Z16" s="21"/>
      <c r="AA16" s="21"/>
      <c r="AB16" s="19"/>
      <c r="AC16" s="2"/>
      <c r="AD16" s="21"/>
    </row>
    <row r="17" spans="1:30" ht="12.75" customHeight="1" x14ac:dyDescent="0.2">
      <c r="A17" s="32"/>
      <c r="B17" s="118" t="str">
        <f>IFERROR(INDEX(PERFIL_PUXADOR!$A:$A,MATCH(D17,PERFIL_PUXADOR!$B:$B,0)),"")</f>
        <v xml:space="preserve">003747              </v>
      </c>
      <c r="C17" s="220">
        <f>F6</f>
        <v>2</v>
      </c>
      <c r="D17" s="99" t="s">
        <v>270</v>
      </c>
      <c r="E17" s="38">
        <f>IFERROR(VLOOKUP(B17,PERFIL_PUXADOR!$A:$C,3,0),"")</f>
        <v>72.150000000000006</v>
      </c>
      <c r="F17" s="107">
        <f>IFERROR(C17*E17,"")</f>
        <v>144.30000000000001</v>
      </c>
      <c r="G17" s="113">
        <f>C17</f>
        <v>2</v>
      </c>
      <c r="H17" s="42" t="str">
        <f>IFERROR(INDEX(BaseExtra[Código],MATCH(I17,BaseExtra[Item],0)),"")</f>
        <v/>
      </c>
      <c r="I17" s="95"/>
      <c r="J17" s="38" t="str">
        <f>IFERROR(VLOOKUP(H17,BaseExtra[],3,0),"")</f>
        <v/>
      </c>
      <c r="K17" s="107" t="str">
        <f>IFERROR(E6*F6*J17,"")</f>
        <v/>
      </c>
      <c r="L17" s="92">
        <v>0</v>
      </c>
      <c r="M17" s="126">
        <f>SUM(H6,M6,Q6,F17,K17,EXTRAS!$C$11)</f>
        <v>464.26</v>
      </c>
      <c r="N17" s="104">
        <f>PRODUCT(L17,M17)</f>
        <v>0</v>
      </c>
      <c r="O17" s="234">
        <f>SUM(N17:N24)</f>
        <v>0</v>
      </c>
      <c r="P17" s="234"/>
      <c r="Q17" s="235"/>
      <c r="U17" s="19"/>
      <c r="V17" s="19"/>
      <c r="W17" s="19"/>
      <c r="X17" s="19"/>
      <c r="Y17" s="19"/>
      <c r="Z17" s="21"/>
      <c r="AA17" s="21"/>
      <c r="AB17" s="19"/>
      <c r="AC17" s="2"/>
      <c r="AD17" s="21"/>
    </row>
    <row r="18" spans="1:30" ht="12.75" customHeight="1" x14ac:dyDescent="0.2">
      <c r="A18" s="32"/>
      <c r="B18" s="77" t="str">
        <f>IFERROR(INDEX(PERFIL_PUXADOR!$A:$A,MATCH(D18,PERFIL_PUXADOR!$B:$B,0)),"")</f>
        <v xml:space="preserve">003526              </v>
      </c>
      <c r="C18" s="220">
        <f t="shared" ref="C18:C24" si="5">F7</f>
        <v>0.56000000000000005</v>
      </c>
      <c r="D18" s="98" t="s">
        <v>274</v>
      </c>
      <c r="E18" s="35">
        <f>IFERROR(VLOOKUP(B18,PERFIL_PUXADOR!$A:$C,3,0),"")</f>
        <v>83.69</v>
      </c>
      <c r="F18" s="108">
        <f t="shared" ref="F18:F24" si="6">IFERROR(C18*E18,"")</f>
        <v>46.866400000000006</v>
      </c>
      <c r="G18" s="114">
        <f>C18</f>
        <v>0.56000000000000005</v>
      </c>
      <c r="H18" s="36" t="str">
        <f>IFERROR(INDEX(BaseExtra[Código],MATCH(I18,BaseExtra[Item],0)),"")</f>
        <v/>
      </c>
      <c r="I18" s="96"/>
      <c r="J18" s="35" t="str">
        <f>IFERROR(VLOOKUP(H18,BaseExtra[],3,0),"")</f>
        <v/>
      </c>
      <c r="K18" s="108" t="str">
        <f t="shared" ref="K18:K24" si="7">IFERROR(E7*F7*J18,"")</f>
        <v/>
      </c>
      <c r="L18" s="93">
        <v>0</v>
      </c>
      <c r="M18" s="39">
        <f>SUM(H7,M7,Q7,F18,K18,EXTRAS!$C$11)</f>
        <v>252.47840000000002</v>
      </c>
      <c r="N18" s="105">
        <f t="shared" ref="N18:N24" si="8">PRODUCT(L18,M18)</f>
        <v>0</v>
      </c>
      <c r="O18" s="236"/>
      <c r="P18" s="236"/>
      <c r="Q18" s="237"/>
    </row>
    <row r="19" spans="1:30" ht="12.75" customHeight="1" x14ac:dyDescent="0.2">
      <c r="A19" s="32"/>
      <c r="B19" s="77" t="str">
        <f>IFERROR(INDEX(PERFIL_PUXADOR!$A:$A,MATCH(D19,PERFIL_PUXADOR!$B:$B,0)),"")</f>
        <v xml:space="preserve">009951              </v>
      </c>
      <c r="C19" s="220">
        <f t="shared" si="5"/>
        <v>2.36</v>
      </c>
      <c r="D19" s="98" t="s">
        <v>256</v>
      </c>
      <c r="E19" s="35">
        <f>IFERROR(VLOOKUP(B19,PERFIL_PUXADOR!$A:$C,3,0),"")</f>
        <v>79.45</v>
      </c>
      <c r="F19" s="108">
        <f t="shared" si="6"/>
        <v>187.50200000000001</v>
      </c>
      <c r="G19" s="114">
        <f t="shared" ref="G19:G24" si="9">C19</f>
        <v>2.36</v>
      </c>
      <c r="H19" s="36" t="str">
        <f>IFERROR(INDEX(BaseExtra[Código],MATCH(I19,BaseExtra[Item],0)),"")</f>
        <v/>
      </c>
      <c r="I19" s="96"/>
      <c r="J19" s="35" t="str">
        <f>IFERROR(VLOOKUP(H19,BaseExtra[],3,0),"")</f>
        <v/>
      </c>
      <c r="K19" s="108" t="str">
        <f t="shared" si="7"/>
        <v/>
      </c>
      <c r="L19" s="93">
        <v>0</v>
      </c>
      <c r="M19" s="39">
        <f>SUM(H8,M8,Q8,F19,K19,EXTRAS!$C$11)</f>
        <v>640.9597839999999</v>
      </c>
      <c r="N19" s="105">
        <f t="shared" si="8"/>
        <v>0</v>
      </c>
      <c r="O19" s="236"/>
      <c r="P19" s="236"/>
      <c r="Q19" s="237"/>
      <c r="V19" s="15"/>
      <c r="W19" s="15"/>
      <c r="Y19" s="1"/>
      <c r="AB19" s="15"/>
      <c r="AC19" s="15"/>
    </row>
    <row r="20" spans="1:30" ht="12.75" customHeight="1" x14ac:dyDescent="0.2">
      <c r="A20" s="32"/>
      <c r="B20" s="77" t="str">
        <f>IFERROR(INDEX(PERFIL_PUXADOR!$A:$A,MATCH(D20,PERFIL_PUXADOR!$B:$B,0)),"")</f>
        <v/>
      </c>
      <c r="C20" s="220">
        <f t="shared" si="5"/>
        <v>0</v>
      </c>
      <c r="D20" s="98"/>
      <c r="E20" s="35" t="str">
        <f>IFERROR(VLOOKUP(B20,PERFIL_PUXADOR!$A:$C,3,0),"")</f>
        <v/>
      </c>
      <c r="F20" s="108" t="str">
        <f t="shared" si="6"/>
        <v/>
      </c>
      <c r="G20" s="114">
        <f t="shared" si="9"/>
        <v>0</v>
      </c>
      <c r="H20" s="36" t="str">
        <f>IFERROR(INDEX(BaseExtra[Código],MATCH(I20,BaseExtra[Item],0)),"")</f>
        <v/>
      </c>
      <c r="I20" s="96"/>
      <c r="J20" s="35" t="str">
        <f>IFERROR(VLOOKUP(H20,BaseExtra[],3,0),"")</f>
        <v/>
      </c>
      <c r="K20" s="108" t="str">
        <f t="shared" si="7"/>
        <v/>
      </c>
      <c r="L20" s="93">
        <v>0</v>
      </c>
      <c r="M20" s="39">
        <f>SUM(H9,M9,Q9,F20,K20,EXTRAS!$C$11)</f>
        <v>60</v>
      </c>
      <c r="N20" s="105">
        <f t="shared" si="8"/>
        <v>0</v>
      </c>
      <c r="O20" s="236"/>
      <c r="P20" s="236"/>
      <c r="Q20" s="237"/>
      <c r="V20" s="15"/>
      <c r="W20" s="15"/>
      <c r="Y20" s="1"/>
      <c r="AB20" s="15"/>
      <c r="AC20" s="15"/>
    </row>
    <row r="21" spans="1:30" ht="12.75" customHeight="1" x14ac:dyDescent="0.2">
      <c r="A21" s="32"/>
      <c r="B21" s="77" t="str">
        <f>IFERROR(INDEX(PERFIL_PUXADOR!$A:$A,MATCH(D21,PERFIL_PUXADOR!$B:$B,0)),"")</f>
        <v/>
      </c>
      <c r="C21" s="220">
        <f t="shared" si="5"/>
        <v>0</v>
      </c>
      <c r="D21" s="98"/>
      <c r="E21" s="35" t="str">
        <f>IFERROR(VLOOKUP(B21,PERFIL_PUXADOR!$A:$C,3,0),"")</f>
        <v/>
      </c>
      <c r="F21" s="108" t="str">
        <f t="shared" si="6"/>
        <v/>
      </c>
      <c r="G21" s="114">
        <f t="shared" si="9"/>
        <v>0</v>
      </c>
      <c r="H21" s="36" t="str">
        <f>IFERROR(INDEX(BaseExtra[Código],MATCH(I21,BaseExtra[Item],0)),"")</f>
        <v/>
      </c>
      <c r="I21" s="96"/>
      <c r="J21" s="35" t="str">
        <f>IFERROR(VLOOKUP(H21,BaseExtra[],3,0),"")</f>
        <v/>
      </c>
      <c r="K21" s="108" t="str">
        <f t="shared" si="7"/>
        <v/>
      </c>
      <c r="L21" s="93">
        <v>0</v>
      </c>
      <c r="M21" s="39">
        <f>SUM(H10,M10,Q10,F21,K21,EXTRAS!$C$11)</f>
        <v>60</v>
      </c>
      <c r="N21" s="105">
        <f t="shared" si="8"/>
        <v>0</v>
      </c>
      <c r="O21" s="236"/>
      <c r="P21" s="236"/>
      <c r="Q21" s="237"/>
      <c r="V21" s="15"/>
      <c r="W21" s="15"/>
      <c r="Y21" s="1"/>
      <c r="AB21" s="15"/>
      <c r="AC21" s="15"/>
    </row>
    <row r="22" spans="1:30" ht="12.75" customHeight="1" x14ac:dyDescent="0.2">
      <c r="A22" s="32"/>
      <c r="B22" s="77" t="str">
        <f>IFERROR(INDEX(PERFIL_PUXADOR!$A:$A,MATCH(D22,PERFIL_PUXADOR!$B:$B,0)),"")</f>
        <v/>
      </c>
      <c r="C22" s="220">
        <f t="shared" si="5"/>
        <v>0</v>
      </c>
      <c r="D22" s="98"/>
      <c r="E22" s="35" t="str">
        <f>IFERROR(VLOOKUP(B22,PERFIL_PUXADOR!$A:$C,3,0),"")</f>
        <v/>
      </c>
      <c r="F22" s="108" t="str">
        <f t="shared" si="6"/>
        <v/>
      </c>
      <c r="G22" s="114">
        <f t="shared" si="9"/>
        <v>0</v>
      </c>
      <c r="H22" s="36" t="str">
        <f>IFERROR(INDEX(BaseExtra[Código],MATCH(I22,BaseExtra[Item],0)),"")</f>
        <v/>
      </c>
      <c r="I22" s="96"/>
      <c r="J22" s="35" t="str">
        <f>IFERROR(VLOOKUP(H22,BaseExtra[],3,0),"")</f>
        <v/>
      </c>
      <c r="K22" s="108" t="str">
        <f t="shared" si="7"/>
        <v/>
      </c>
      <c r="L22" s="93">
        <v>0</v>
      </c>
      <c r="M22" s="39">
        <f>SUM(H11,M11,Q11,F22,K22,EXTRAS!$C$11)</f>
        <v>60</v>
      </c>
      <c r="N22" s="105">
        <f t="shared" si="8"/>
        <v>0</v>
      </c>
      <c r="O22" s="236"/>
      <c r="P22" s="236"/>
      <c r="Q22" s="237"/>
      <c r="V22" s="15"/>
      <c r="W22" s="15"/>
      <c r="Y22" s="1"/>
      <c r="AB22" s="15"/>
      <c r="AC22" s="15"/>
    </row>
    <row r="23" spans="1:30" ht="12.75" customHeight="1" x14ac:dyDescent="0.2">
      <c r="A23" s="32"/>
      <c r="B23" s="77" t="str">
        <f>IFERROR(INDEX(PERFIL_PUXADOR!$A:$A,MATCH(D23,PERFIL_PUXADOR!$B:$B,0)),"")</f>
        <v/>
      </c>
      <c r="C23" s="220">
        <f t="shared" si="5"/>
        <v>0</v>
      </c>
      <c r="D23" s="98"/>
      <c r="E23" s="35" t="str">
        <f>IFERROR(VLOOKUP(B23,PERFIL_PUXADOR!$A:$C,3,0),"")</f>
        <v/>
      </c>
      <c r="F23" s="108" t="str">
        <f t="shared" si="6"/>
        <v/>
      </c>
      <c r="G23" s="114">
        <f t="shared" si="9"/>
        <v>0</v>
      </c>
      <c r="H23" s="36" t="str">
        <f>IFERROR(INDEX(BaseExtra[Código],MATCH(I23,BaseExtra[Item],0)),"")</f>
        <v/>
      </c>
      <c r="I23" s="96"/>
      <c r="J23" s="35" t="str">
        <f>IFERROR(VLOOKUP(H23,BaseExtra[],3,0),"")</f>
        <v/>
      </c>
      <c r="K23" s="108" t="str">
        <f t="shared" si="7"/>
        <v/>
      </c>
      <c r="L23" s="93">
        <v>0</v>
      </c>
      <c r="M23" s="39">
        <f>SUM(H12,M12,Q12,F23,K23,EXTRAS!$C$11)</f>
        <v>60</v>
      </c>
      <c r="N23" s="105">
        <f t="shared" si="8"/>
        <v>0</v>
      </c>
      <c r="O23" s="236"/>
      <c r="P23" s="236"/>
      <c r="Q23" s="237"/>
      <c r="V23" s="15"/>
      <c r="W23" s="15"/>
      <c r="Y23" s="1"/>
      <c r="AB23" s="15"/>
      <c r="AC23" s="15"/>
    </row>
    <row r="24" spans="1:30" ht="14.25" customHeight="1" thickBot="1" x14ac:dyDescent="0.25">
      <c r="A24" s="32"/>
      <c r="B24" s="77" t="str">
        <f>IFERROR(INDEX(PERFIL_PUXADOR!$A:$A,MATCH(D24,PERFIL_PUXADOR!$B:$B,0)),"")</f>
        <v/>
      </c>
      <c r="C24" s="220">
        <f t="shared" si="5"/>
        <v>0</v>
      </c>
      <c r="D24" s="98"/>
      <c r="E24" s="35" t="str">
        <f>IFERROR(VLOOKUP(B24,PERFIL_PUXADOR!$A:$C,3,0),"")</f>
        <v/>
      </c>
      <c r="F24" s="108" t="str">
        <f t="shared" si="6"/>
        <v/>
      </c>
      <c r="G24" s="115">
        <f t="shared" si="9"/>
        <v>0</v>
      </c>
      <c r="H24" s="116" t="str">
        <f>IFERROR(INDEX(BaseExtra[Código],MATCH(I24,BaseExtra[Item],0)),"")</f>
        <v/>
      </c>
      <c r="I24" s="97"/>
      <c r="J24" s="43" t="str">
        <f>IFERROR(VLOOKUP(H24,BaseExtra[],3,0),"")</f>
        <v/>
      </c>
      <c r="K24" s="109" t="str">
        <f t="shared" si="7"/>
        <v/>
      </c>
      <c r="L24" s="94">
        <v>0</v>
      </c>
      <c r="M24" s="44">
        <f>SUM(H13,M13,Q13,F24,K24,EXTRAS!$C$11)</f>
        <v>60</v>
      </c>
      <c r="N24" s="106">
        <f t="shared" si="8"/>
        <v>0</v>
      </c>
      <c r="O24" s="238"/>
      <c r="P24" s="238"/>
      <c r="Q24" s="239"/>
    </row>
    <row r="25" spans="1:30" ht="12.75" customHeight="1" x14ac:dyDescent="0.2">
      <c r="A25" s="32"/>
      <c r="B25" s="4"/>
      <c r="C25" s="4"/>
      <c r="D25" s="4"/>
      <c r="E25" s="5"/>
      <c r="F25" s="6"/>
      <c r="G25" s="13"/>
      <c r="H25" s="7"/>
      <c r="I25" s="7"/>
      <c r="J25" s="7"/>
      <c r="K25" s="7"/>
      <c r="L25" s="7"/>
      <c r="M25" s="7"/>
      <c r="N25" s="7"/>
      <c r="O25" s="4"/>
      <c r="P25" s="4"/>
      <c r="Q25" s="4"/>
    </row>
    <row r="26" spans="1:30" x14ac:dyDescent="0.2">
      <c r="A26" s="32"/>
      <c r="B26" s="83" t="s">
        <v>108</v>
      </c>
      <c r="H26" s="19"/>
      <c r="I26" s="19"/>
      <c r="J26" s="19"/>
      <c r="K26" s="16"/>
      <c r="L26" s="16"/>
      <c r="M26" s="16"/>
      <c r="N26" s="16"/>
      <c r="O26" s="14"/>
    </row>
    <row r="27" spans="1:30" hidden="1" x14ac:dyDescent="0.2">
      <c r="A27" s="32"/>
      <c r="H27" s="19"/>
      <c r="I27" s="19"/>
      <c r="J27" s="19"/>
      <c r="K27" s="16"/>
      <c r="L27" s="16"/>
      <c r="M27" s="16"/>
      <c r="N27" s="16"/>
      <c r="O27" s="14"/>
    </row>
    <row r="28" spans="1:30" hidden="1" x14ac:dyDescent="0.2">
      <c r="A28" s="32"/>
      <c r="L28" s="19"/>
      <c r="M28" s="19"/>
      <c r="N28" s="19"/>
      <c r="O28" s="21"/>
    </row>
    <row r="29" spans="1:30" hidden="1" x14ac:dyDescent="0.2">
      <c r="A29" s="32"/>
      <c r="L29" s="19"/>
      <c r="M29" s="19"/>
      <c r="N29" s="19"/>
      <c r="O29" s="21"/>
    </row>
  </sheetData>
  <sheetProtection sheet="1" objects="1" scenarios="1" selectLockedCells="1"/>
  <mergeCells count="9">
    <mergeCell ref="O17:Q24"/>
    <mergeCell ref="B3:Q3"/>
    <mergeCell ref="B4:H4"/>
    <mergeCell ref="I4:M4"/>
    <mergeCell ref="N4:Q4"/>
    <mergeCell ref="B15:F15"/>
    <mergeCell ref="H15:K15"/>
    <mergeCell ref="L15:N15"/>
    <mergeCell ref="O15:Q16"/>
  </mergeCells>
  <dataValidations count="5">
    <dataValidation type="list" allowBlank="1" showInputMessage="1" showErrorMessage="1" sqref="C6:C13">
      <formula1>INDIRECT($B$4)</formula1>
    </dataValidation>
    <dataValidation type="list" allowBlank="1" showInputMessage="1" showErrorMessage="1" sqref="J6:J13">
      <formula1>INDIRECT($I$4)</formula1>
    </dataValidation>
    <dataValidation type="list" allowBlank="1" showInputMessage="1" showErrorMessage="1" sqref="O6:O13">
      <formula1>INDIRECT($N$4)</formula1>
    </dataValidation>
    <dataValidation type="list" allowBlank="1" showInputMessage="1" showErrorMessage="1" sqref="D17:D24">
      <formula1>INDIRECT($B$15)</formula1>
    </dataValidation>
    <dataValidation type="list" allowBlank="1" showInputMessage="1" showErrorMessage="1" sqref="I17:I24">
      <formula1>INDIRECT($B$26)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ignoredErrors>
    <ignoredError sqref="C17 C18:C24" unlocked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C29"/>
  <sheetViews>
    <sheetView zoomScale="85" zoomScaleNormal="85" workbookViewId="0">
      <selection activeCell="C6" sqref="C6"/>
    </sheetView>
  </sheetViews>
  <sheetFormatPr defaultColWidth="0" defaultRowHeight="12.75" customHeight="1" zeroHeight="1" x14ac:dyDescent="0.2"/>
  <cols>
    <col min="1" max="1" width="1.85546875" style="31" customWidth="1"/>
    <col min="2" max="2" width="8.7109375" style="15" customWidth="1"/>
    <col min="3" max="3" width="20.7109375" style="15" customWidth="1"/>
    <col min="4" max="4" width="21.140625" style="15" customWidth="1"/>
    <col min="5" max="5" width="9" style="24" customWidth="1"/>
    <col min="6" max="6" width="10" style="18" customWidth="1"/>
    <col min="7" max="7" width="8.42578125" style="18" customWidth="1"/>
    <col min="8" max="8" width="9.140625" style="20" bestFit="1" customWidth="1"/>
    <col min="9" max="9" width="16.85546875" style="20" customWidth="1"/>
    <col min="10" max="10" width="18.5703125" style="20" customWidth="1"/>
    <col min="11" max="11" width="11.5703125" style="20" customWidth="1"/>
    <col min="12" max="12" width="8.5703125" style="20" customWidth="1"/>
    <col min="13" max="13" width="12.85546875" style="20" customWidth="1"/>
    <col min="14" max="14" width="14.140625" style="20" customWidth="1"/>
    <col min="15" max="15" width="17.85546875" style="15" customWidth="1"/>
    <col min="16" max="16" width="9.7109375" style="15" customWidth="1"/>
    <col min="17" max="17" width="12" style="15" customWidth="1"/>
    <col min="18" max="18" width="7.5703125" style="20" bestFit="1" customWidth="1"/>
    <col min="19" max="19" width="9.28515625" style="48" hidden="1"/>
    <col min="20" max="20" width="6.28515625" style="20" hidden="1"/>
    <col min="21" max="21" width="6.140625" style="20" hidden="1"/>
    <col min="22" max="22" width="17.7109375" style="20" hidden="1"/>
    <col min="23" max="23" width="7.28515625" style="20" hidden="1"/>
    <col min="24" max="25" width="7.140625" style="20" hidden="1"/>
    <col min="26" max="26" width="5.7109375" style="15" hidden="1"/>
    <col min="27" max="27" width="9.140625" style="15" hidden="1"/>
    <col min="28" max="28" width="9.42578125" style="20" hidden="1"/>
    <col min="29" max="29" width="1.5703125" style="1" hidden="1"/>
    <col min="30" max="54" width="0" style="15" hidden="1"/>
    <col min="55" max="16382" width="9.140625" style="15" hidden="1"/>
    <col min="16383" max="16383" width="13" style="15" hidden="1" customWidth="1"/>
    <col min="16384" max="16384" width="7.85546875" style="15" hidden="1" customWidth="1"/>
  </cols>
  <sheetData>
    <row r="1" spans="1:54" s="1" customFormat="1" ht="3" customHeight="1" x14ac:dyDescent="0.2">
      <c r="A1" s="31"/>
      <c r="E1" s="11"/>
      <c r="F1" s="22"/>
      <c r="G1" s="22"/>
      <c r="H1" s="9"/>
      <c r="I1" s="9"/>
      <c r="J1" s="9"/>
      <c r="K1" s="9"/>
      <c r="L1" s="9"/>
      <c r="M1" s="9"/>
      <c r="N1" s="9"/>
      <c r="R1" s="9"/>
      <c r="S1" s="45"/>
      <c r="T1" s="9"/>
      <c r="U1" s="9"/>
      <c r="V1" s="9"/>
      <c r="W1" s="9"/>
      <c r="X1" s="9"/>
      <c r="Y1" s="9"/>
      <c r="AB1" s="9"/>
    </row>
    <row r="2" spans="1:54" s="1" customFormat="1" ht="3.75" customHeight="1" thickBot="1" x14ac:dyDescent="0.25">
      <c r="A2" s="32"/>
      <c r="B2" s="2"/>
      <c r="C2" s="2"/>
      <c r="D2" s="2"/>
      <c r="E2" s="10"/>
      <c r="F2" s="22"/>
      <c r="G2" s="22"/>
      <c r="H2" s="3"/>
      <c r="I2" s="3"/>
      <c r="J2" s="3"/>
      <c r="K2" s="3"/>
      <c r="L2" s="3"/>
      <c r="M2" s="3"/>
      <c r="N2" s="3"/>
      <c r="O2" s="2"/>
      <c r="P2" s="2"/>
      <c r="Q2" s="2"/>
      <c r="R2" s="3"/>
      <c r="S2" s="46"/>
      <c r="T2" s="3"/>
      <c r="U2" s="3"/>
      <c r="V2" s="3"/>
      <c r="W2" s="3"/>
      <c r="X2" s="3"/>
      <c r="Y2" s="3"/>
      <c r="Z2" s="2"/>
      <c r="AA2" s="2"/>
      <c r="AB2" s="3"/>
      <c r="AC2" s="2"/>
      <c r="AD2" s="2"/>
    </row>
    <row r="3" spans="1:54" ht="18.75" customHeight="1" thickBot="1" x14ac:dyDescent="0.25">
      <c r="A3" s="32"/>
      <c r="B3" s="231" t="s">
        <v>418</v>
      </c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3"/>
      <c r="S3" s="47"/>
      <c r="T3" s="7"/>
      <c r="U3" s="7"/>
      <c r="V3" s="4"/>
      <c r="W3" s="4"/>
      <c r="X3" s="8"/>
      <c r="Y3" s="2"/>
      <c r="Z3" s="14"/>
      <c r="AB3" s="15"/>
      <c r="AC3" s="15"/>
    </row>
    <row r="4" spans="1:54" s="17" customFormat="1" ht="12.75" customHeight="1" thickBot="1" x14ac:dyDescent="0.25">
      <c r="A4" s="32"/>
      <c r="B4" s="245" t="s">
        <v>3</v>
      </c>
      <c r="C4" s="246"/>
      <c r="D4" s="246"/>
      <c r="E4" s="246"/>
      <c r="F4" s="246"/>
      <c r="G4" s="246"/>
      <c r="H4" s="247"/>
      <c r="I4" s="245" t="s">
        <v>2</v>
      </c>
      <c r="J4" s="246"/>
      <c r="K4" s="246"/>
      <c r="L4" s="246"/>
      <c r="M4" s="248"/>
      <c r="N4" s="249" t="s">
        <v>107</v>
      </c>
      <c r="O4" s="250"/>
      <c r="P4" s="250"/>
      <c r="Q4" s="251"/>
      <c r="R4" s="20"/>
      <c r="S4" s="47"/>
      <c r="T4" s="7"/>
      <c r="U4" s="7"/>
      <c r="V4" s="4"/>
      <c r="W4" s="4"/>
      <c r="X4" s="8"/>
      <c r="Y4" s="2"/>
      <c r="Z4" s="14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</row>
    <row r="5" spans="1:54" ht="13.5" thickBot="1" x14ac:dyDescent="0.25">
      <c r="A5" s="32"/>
      <c r="B5" s="182" t="s">
        <v>4</v>
      </c>
      <c r="C5" s="183" t="s">
        <v>5</v>
      </c>
      <c r="D5" s="183" t="s">
        <v>63</v>
      </c>
      <c r="E5" s="184" t="s">
        <v>0</v>
      </c>
      <c r="F5" s="185" t="s">
        <v>1</v>
      </c>
      <c r="G5" s="185" t="s">
        <v>13</v>
      </c>
      <c r="H5" s="86" t="s">
        <v>7</v>
      </c>
      <c r="I5" s="186" t="s">
        <v>12</v>
      </c>
      <c r="J5" s="186" t="s">
        <v>5</v>
      </c>
      <c r="K5" s="186" t="s">
        <v>15</v>
      </c>
      <c r="L5" s="186" t="s">
        <v>6</v>
      </c>
      <c r="M5" s="86" t="s">
        <v>7</v>
      </c>
      <c r="N5" s="152" t="s">
        <v>4</v>
      </c>
      <c r="O5" s="183" t="s">
        <v>5</v>
      </c>
      <c r="P5" s="183" t="s">
        <v>9</v>
      </c>
      <c r="Q5" s="119" t="s">
        <v>7</v>
      </c>
      <c r="R5" s="187" t="s">
        <v>24</v>
      </c>
      <c r="S5" s="47"/>
      <c r="T5" s="7"/>
      <c r="U5" s="7"/>
      <c r="V5" s="4"/>
      <c r="W5" s="4"/>
      <c r="X5" s="8"/>
      <c r="Y5" s="2"/>
      <c r="Z5" s="14"/>
      <c r="AB5" s="15"/>
      <c r="AC5" s="15"/>
    </row>
    <row r="6" spans="1:54" x14ac:dyDescent="0.2">
      <c r="A6" s="32">
        <v>39</v>
      </c>
      <c r="B6" s="118" t="str">
        <f>IFERROR(INDEX(PERFIl!$A:$A,MATCH(C6,PERFIl!$B:$B,0)),"")</f>
        <v xml:space="preserve">014259              </v>
      </c>
      <c r="C6" s="89" t="s">
        <v>134</v>
      </c>
      <c r="D6" s="38">
        <f>IFERROR(VLOOKUP(B6,PERFIl!$A:$C,3,0),"")</f>
        <v>72.5</v>
      </c>
      <c r="E6" s="89">
        <v>0.74</v>
      </c>
      <c r="F6" s="89">
        <v>2.4079999999999999</v>
      </c>
      <c r="G6" s="111">
        <f>E6*2</f>
        <v>1.48</v>
      </c>
      <c r="H6" s="101">
        <f>IFERROR(G6*D6,"")</f>
        <v>107.3</v>
      </c>
      <c r="I6" s="79" t="str">
        <f>IFERROR(INDEX(DIVISORES!$A:$A,MATCH(J6,DIVISORES!$B:$B,0)),"")</f>
        <v/>
      </c>
      <c r="J6" s="89"/>
      <c r="K6" s="37">
        <v>1</v>
      </c>
      <c r="L6" s="38" t="str">
        <f>IFERROR(VLOOKUP(I6,BaseDivisores[[Codigo]:[Preço]],3,0),"")</f>
        <v/>
      </c>
      <c r="M6" s="101" t="str">
        <f>IFERROR((E6*K6*L6),"")</f>
        <v/>
      </c>
      <c r="N6" s="125" t="str">
        <f>IFERROR(INDEX(BASE_VIDROS!$A:$A,MATCH(O6,BASE_VIDROS!$B:$B,0)),"")</f>
        <v xml:space="preserve">003184              </v>
      </c>
      <c r="O6" s="89" t="s">
        <v>417</v>
      </c>
      <c r="P6" s="58">
        <f>IFERROR(VLOOKUP(N6,BaseVidros[[Codigo]:[Preço]],3,0),"")</f>
        <v>179.26</v>
      </c>
      <c r="Q6" s="120">
        <f>IFERROR(E6*F6*P6,"")</f>
        <v>319.42697919999995</v>
      </c>
      <c r="R6" s="123">
        <f t="shared" ref="R6:R13" si="0">E6*F6</f>
        <v>1.7819199999999999</v>
      </c>
      <c r="S6" s="47"/>
      <c r="T6" s="7"/>
      <c r="U6" s="7"/>
      <c r="V6" s="4"/>
      <c r="W6" s="4"/>
      <c r="X6" s="8"/>
      <c r="Y6" s="2"/>
      <c r="Z6" s="14"/>
      <c r="AB6" s="15"/>
      <c r="AC6" s="15"/>
    </row>
    <row r="7" spans="1:54" s="23" customFormat="1" x14ac:dyDescent="0.2">
      <c r="A7" s="32">
        <v>57</v>
      </c>
      <c r="B7" s="77" t="str">
        <f>IFERROR(INDEX(PERFIl!$A:$A,MATCH(C7,PERFIl!$B:$B,0)),"")</f>
        <v xml:space="preserve">011277              </v>
      </c>
      <c r="C7" s="90" t="s">
        <v>194</v>
      </c>
      <c r="D7" s="35">
        <f>IFERROR(VLOOKUP(B7,PERFIl!$A:$C,3,0),"")</f>
        <v>63.7</v>
      </c>
      <c r="E7" s="90"/>
      <c r="F7" s="90"/>
      <c r="G7" s="111">
        <f t="shared" ref="G7:G13" si="1">E7*2</f>
        <v>0</v>
      </c>
      <c r="H7" s="102">
        <f t="shared" ref="H7:H13" si="2">IFERROR(G7*D7,"")</f>
        <v>0</v>
      </c>
      <c r="I7" s="80" t="str">
        <f>IFERROR(INDEX(DIVISORES!$A:$A,MATCH(J7,DIVISORES!$B:$B,0)),"")</f>
        <v/>
      </c>
      <c r="J7" s="90"/>
      <c r="K7" s="25">
        <v>1</v>
      </c>
      <c r="L7" s="35" t="str">
        <f>IFERROR(VLOOKUP(I7,BaseDivisores[[Codigo]:[Preço]],3,0),"")</f>
        <v/>
      </c>
      <c r="M7" s="102" t="str">
        <f t="shared" ref="M7:M13" si="3">IFERROR((E7*K7*L7),"")</f>
        <v/>
      </c>
      <c r="N7" s="81" t="str">
        <f>IFERROR(INDEX(BASE_VIDROS!$A:$A,MATCH(O7,BASE_VIDROS!$B:$B,0)),"")</f>
        <v/>
      </c>
      <c r="O7" s="90" t="s">
        <v>415</v>
      </c>
      <c r="P7" s="56" t="str">
        <f>IFERROR(VLOOKUP(N7,BaseVidros[[Codigo]:[Preço]],3,0),"")</f>
        <v/>
      </c>
      <c r="Q7" s="121" t="str">
        <f>IFERROR(E7*F7*P7,"")</f>
        <v/>
      </c>
      <c r="R7" s="123">
        <f t="shared" si="0"/>
        <v>0</v>
      </c>
      <c r="S7" s="47"/>
      <c r="T7" s="7"/>
      <c r="U7" s="7"/>
      <c r="V7" s="4"/>
      <c r="W7" s="4"/>
      <c r="X7" s="8"/>
      <c r="Y7" s="2"/>
      <c r="Z7" s="14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</row>
    <row r="8" spans="1:54" x14ac:dyDescent="0.2">
      <c r="A8" s="32">
        <v>57</v>
      </c>
      <c r="B8" s="77" t="str">
        <f>IFERROR(INDEX(PERFIl!$A:$A,MATCH(C8,PERFIl!$B:$B,0)),"")</f>
        <v xml:space="preserve">012119              </v>
      </c>
      <c r="C8" s="90" t="s">
        <v>196</v>
      </c>
      <c r="D8" s="35">
        <f>IFERROR(VLOOKUP(B8,PERFIl!$A:$C,3,0),"")</f>
        <v>55.75</v>
      </c>
      <c r="E8" s="90"/>
      <c r="F8" s="90"/>
      <c r="G8" s="111">
        <f t="shared" si="1"/>
        <v>0</v>
      </c>
      <c r="H8" s="102">
        <f t="shared" si="2"/>
        <v>0</v>
      </c>
      <c r="I8" s="80" t="str">
        <f>IFERROR(INDEX(DIVISORES!$A:$A,MATCH(J8,DIVISORES!$B:$B,0)),"")</f>
        <v/>
      </c>
      <c r="J8" s="90"/>
      <c r="K8" s="25">
        <v>1</v>
      </c>
      <c r="L8" s="35" t="str">
        <f>IFERROR(VLOOKUP(I8,BaseDivisores[[Codigo]:[Preço]],3,0),"")</f>
        <v/>
      </c>
      <c r="M8" s="102" t="str">
        <f t="shared" si="3"/>
        <v/>
      </c>
      <c r="N8" s="81" t="str">
        <f>IFERROR(INDEX(BASE_VIDROS!$A:$A,MATCH(O8,BASE_VIDROS!$B:$B,0)),"")</f>
        <v/>
      </c>
      <c r="O8" s="90" t="s">
        <v>415</v>
      </c>
      <c r="P8" s="56" t="str">
        <f>IFERROR(VLOOKUP(N8,BaseVidros[[Codigo]:[Preço]],3,0),"")</f>
        <v/>
      </c>
      <c r="Q8" s="121" t="str">
        <f t="shared" ref="Q8:Q13" si="4">IFERROR(E8*F8*P8,"")</f>
        <v/>
      </c>
      <c r="R8" s="123">
        <f t="shared" si="0"/>
        <v>0</v>
      </c>
      <c r="S8" s="47"/>
      <c r="T8" s="7"/>
      <c r="U8" s="7"/>
      <c r="V8" s="4"/>
      <c r="W8" s="4"/>
      <c r="X8" s="8"/>
      <c r="Y8" s="2"/>
      <c r="Z8" s="14"/>
      <c r="AB8" s="15"/>
      <c r="AC8" s="15"/>
    </row>
    <row r="9" spans="1:54" s="23" customFormat="1" x14ac:dyDescent="0.2">
      <c r="A9" s="32">
        <v>57</v>
      </c>
      <c r="B9" s="77" t="str">
        <f>IFERROR(INDEX(PERFIl!$A:$A,MATCH(C9,PERFIl!$B:$B,0)),"")</f>
        <v/>
      </c>
      <c r="C9" s="90"/>
      <c r="D9" s="35" t="str">
        <f>IFERROR(VLOOKUP(B9,PERFIl!$A:$C,3,0),"")</f>
        <v/>
      </c>
      <c r="E9" s="90"/>
      <c r="F9" s="90"/>
      <c r="G9" s="111">
        <f t="shared" si="1"/>
        <v>0</v>
      </c>
      <c r="H9" s="102" t="str">
        <f t="shared" si="2"/>
        <v/>
      </c>
      <c r="I9" s="80" t="str">
        <f>IFERROR(INDEX(DIVISORES!$A:$A,MATCH(J9,DIVISORES!$B:$B,0)),"")</f>
        <v/>
      </c>
      <c r="J9" s="90"/>
      <c r="K9" s="25">
        <v>1</v>
      </c>
      <c r="L9" s="35" t="str">
        <f>IFERROR(VLOOKUP(I9,BaseDivisores[[Codigo]:[Preço]],3,0),"")</f>
        <v/>
      </c>
      <c r="M9" s="102" t="str">
        <f t="shared" si="3"/>
        <v/>
      </c>
      <c r="N9" s="81" t="str">
        <f>IFERROR(INDEX(BASE_VIDROS!$A:$A,MATCH(O9,BASE_VIDROS!$B:$B,0)),"")</f>
        <v/>
      </c>
      <c r="O9" s="90"/>
      <c r="P9" s="56" t="str">
        <f>IFERROR(VLOOKUP(N9,BaseVidros[[Codigo]:[Preço]],3,0),"")</f>
        <v/>
      </c>
      <c r="Q9" s="121" t="str">
        <f t="shared" si="4"/>
        <v/>
      </c>
      <c r="R9" s="123">
        <f t="shared" si="0"/>
        <v>0</v>
      </c>
      <c r="S9" s="47"/>
      <c r="T9" s="7"/>
      <c r="U9" s="7"/>
      <c r="V9" s="4"/>
      <c r="W9" s="4"/>
      <c r="X9" s="8"/>
      <c r="Y9" s="2"/>
      <c r="Z9" s="14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</row>
    <row r="10" spans="1:54" x14ac:dyDescent="0.2">
      <c r="A10" s="32">
        <v>57</v>
      </c>
      <c r="B10" s="77" t="str">
        <f>IFERROR(INDEX(PERFIl!$A:$A,MATCH(C10,PERFIl!$B:$B,0)),"")</f>
        <v/>
      </c>
      <c r="C10" s="90"/>
      <c r="D10" s="35" t="str">
        <f>IFERROR(VLOOKUP(B10,PERFIl!$A:$C,3,0),"")</f>
        <v/>
      </c>
      <c r="E10" s="90"/>
      <c r="F10" s="90"/>
      <c r="G10" s="111">
        <f t="shared" si="1"/>
        <v>0</v>
      </c>
      <c r="H10" s="102" t="str">
        <f t="shared" si="2"/>
        <v/>
      </c>
      <c r="I10" s="80" t="str">
        <f>IFERROR(INDEX(DIVISORES!$A:$A,MATCH(J10,DIVISORES!$B:$B,0)),"")</f>
        <v/>
      </c>
      <c r="J10" s="90"/>
      <c r="K10" s="25">
        <v>1</v>
      </c>
      <c r="L10" s="35" t="str">
        <f>IFERROR(VLOOKUP(I10,BaseDivisores[[Codigo]:[Preço]],3,0),"")</f>
        <v/>
      </c>
      <c r="M10" s="102" t="str">
        <f t="shared" si="3"/>
        <v/>
      </c>
      <c r="N10" s="81" t="str">
        <f>IFERROR(INDEX(BASE_VIDROS!$A:$A,MATCH(O10,BASE_VIDROS!$B:$B,0)),"")</f>
        <v/>
      </c>
      <c r="O10" s="90"/>
      <c r="P10" s="56" t="str">
        <f>IFERROR(VLOOKUP(N10,BaseVidros[[Codigo]:[Preço]],3,0),"")</f>
        <v/>
      </c>
      <c r="Q10" s="121" t="str">
        <f t="shared" si="4"/>
        <v/>
      </c>
      <c r="R10" s="123">
        <f t="shared" si="0"/>
        <v>0</v>
      </c>
      <c r="S10" s="47"/>
      <c r="T10" s="7"/>
      <c r="U10" s="7"/>
      <c r="V10" s="4"/>
      <c r="W10" s="4"/>
      <c r="X10" s="8"/>
      <c r="Y10" s="2"/>
      <c r="Z10" s="14"/>
      <c r="AB10" s="15"/>
      <c r="AC10" s="15"/>
    </row>
    <row r="11" spans="1:54" s="23" customFormat="1" x14ac:dyDescent="0.2">
      <c r="A11" s="32">
        <v>57</v>
      </c>
      <c r="B11" s="77" t="str">
        <f>IFERROR(INDEX(PERFIl!$A:$A,MATCH(C11,PERFIl!$B:$B,0)),"")</f>
        <v/>
      </c>
      <c r="C11" s="90"/>
      <c r="D11" s="35" t="str">
        <f>IFERROR(VLOOKUP(B11,PERFIl!$A:$C,3,0),"")</f>
        <v/>
      </c>
      <c r="E11" s="90"/>
      <c r="F11" s="90"/>
      <c r="G11" s="111">
        <f t="shared" si="1"/>
        <v>0</v>
      </c>
      <c r="H11" s="102" t="str">
        <f t="shared" si="2"/>
        <v/>
      </c>
      <c r="I11" s="80" t="str">
        <f>IFERROR(INDEX(DIVISORES!$A:$A,MATCH(J11,DIVISORES!$B:$B,0)),"")</f>
        <v/>
      </c>
      <c r="J11" s="90"/>
      <c r="K11" s="25">
        <v>1</v>
      </c>
      <c r="L11" s="35" t="str">
        <f>IFERROR(VLOOKUP(I11,BaseDivisores[[Codigo]:[Preço]],3,0),"")</f>
        <v/>
      </c>
      <c r="M11" s="102" t="str">
        <f t="shared" si="3"/>
        <v/>
      </c>
      <c r="N11" s="81" t="str">
        <f>IFERROR(INDEX(BASE_VIDROS!$A:$A,MATCH(O11,BASE_VIDROS!$B:$B,0)),"")</f>
        <v/>
      </c>
      <c r="O11" s="90"/>
      <c r="P11" s="56" t="str">
        <f>IFERROR(VLOOKUP(N11,BaseVidros[[Codigo]:[Preço]],3,0),"")</f>
        <v/>
      </c>
      <c r="Q11" s="121" t="str">
        <f t="shared" si="4"/>
        <v/>
      </c>
      <c r="R11" s="123">
        <f t="shared" si="0"/>
        <v>0</v>
      </c>
      <c r="S11" s="47"/>
      <c r="T11" s="7"/>
      <c r="U11" s="7"/>
      <c r="V11" s="4"/>
      <c r="W11" s="4"/>
      <c r="X11" s="8"/>
      <c r="Y11" s="2"/>
      <c r="Z11" s="14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</row>
    <row r="12" spans="1:54" x14ac:dyDescent="0.2">
      <c r="A12" s="32">
        <v>57</v>
      </c>
      <c r="B12" s="77" t="str">
        <f>IFERROR(INDEX(PERFIl!$A:$A,MATCH(C12,PERFIl!$B:$B,0)),"")</f>
        <v/>
      </c>
      <c r="C12" s="90"/>
      <c r="D12" s="35" t="str">
        <f>IFERROR(VLOOKUP(B12,PERFIl!$A:$C,3,0),"")</f>
        <v/>
      </c>
      <c r="E12" s="90"/>
      <c r="F12" s="90"/>
      <c r="G12" s="111">
        <f t="shared" si="1"/>
        <v>0</v>
      </c>
      <c r="H12" s="102" t="str">
        <f t="shared" si="2"/>
        <v/>
      </c>
      <c r="I12" s="80" t="str">
        <f>IFERROR(INDEX(DIVISORES!$A:$A,MATCH(J12,DIVISORES!$B:$B,0)),"")</f>
        <v/>
      </c>
      <c r="J12" s="90"/>
      <c r="K12" s="25">
        <v>1</v>
      </c>
      <c r="L12" s="35" t="str">
        <f>IFERROR(VLOOKUP(I12,BaseDivisores[[Codigo]:[Preço]],3,0),"")</f>
        <v/>
      </c>
      <c r="M12" s="102" t="str">
        <f t="shared" si="3"/>
        <v/>
      </c>
      <c r="N12" s="81" t="str">
        <f>IFERROR(INDEX(BASE_VIDROS!$A:$A,MATCH(O12,BASE_VIDROS!$B:$B,0)),"")</f>
        <v/>
      </c>
      <c r="O12" s="90"/>
      <c r="P12" s="56" t="str">
        <f>IFERROR(VLOOKUP(N12,BaseVidros[[Codigo]:[Preço]],3,0),"")</f>
        <v/>
      </c>
      <c r="Q12" s="121" t="str">
        <f t="shared" si="4"/>
        <v/>
      </c>
      <c r="R12" s="123">
        <f t="shared" si="0"/>
        <v>0</v>
      </c>
      <c r="S12" s="47"/>
      <c r="T12" s="7"/>
      <c r="U12" s="7"/>
      <c r="V12" s="4"/>
      <c r="W12" s="4"/>
      <c r="X12" s="8"/>
      <c r="Y12" s="2"/>
      <c r="Z12" s="14"/>
      <c r="AB12" s="15"/>
      <c r="AC12" s="15"/>
    </row>
    <row r="13" spans="1:54" s="23" customFormat="1" ht="14.25" customHeight="1" thickBot="1" x14ac:dyDescent="0.25">
      <c r="A13" s="32">
        <v>57</v>
      </c>
      <c r="B13" s="78" t="str">
        <f>IFERROR(INDEX(PERFIl!$A:$A,MATCH(C13,PERFIl!$B:$B,0)),"")</f>
        <v/>
      </c>
      <c r="C13" s="91"/>
      <c r="D13" s="43" t="str">
        <f>IFERROR(VLOOKUP(B13,PERFIl!$A:$C,3,0),"")</f>
        <v/>
      </c>
      <c r="E13" s="91"/>
      <c r="F13" s="91"/>
      <c r="G13" s="112">
        <f t="shared" si="1"/>
        <v>0</v>
      </c>
      <c r="H13" s="103" t="str">
        <f t="shared" si="2"/>
        <v/>
      </c>
      <c r="I13" s="100" t="str">
        <f>IFERROR(INDEX(DIVISORES!$A:$A,MATCH(J13,DIVISORES!$B:$B,0)),"")</f>
        <v/>
      </c>
      <c r="J13" s="91"/>
      <c r="K13" s="27">
        <v>1</v>
      </c>
      <c r="L13" s="43" t="str">
        <f>IFERROR(VLOOKUP(I13,BaseDivisores[[Codigo]:[Preço]],3,0),"")</f>
        <v/>
      </c>
      <c r="M13" s="103" t="str">
        <f t="shared" si="3"/>
        <v/>
      </c>
      <c r="N13" s="82" t="str">
        <f>IFERROR(INDEX(BASE_VIDROS!$A:$A,MATCH(O13,BASE_VIDROS!$B:$B,0)),"")</f>
        <v/>
      </c>
      <c r="O13" s="91"/>
      <c r="P13" s="57" t="str">
        <f>IFERROR(VLOOKUP(N13,BaseVidros[[Codigo]:[Preço]],3,0),"")</f>
        <v/>
      </c>
      <c r="Q13" s="122" t="str">
        <f t="shared" si="4"/>
        <v/>
      </c>
      <c r="R13" s="196">
        <f t="shared" si="0"/>
        <v>0</v>
      </c>
      <c r="S13" s="47"/>
      <c r="T13" s="7"/>
      <c r="U13" s="7"/>
      <c r="V13" s="7"/>
      <c r="W13" s="7"/>
      <c r="X13" s="7"/>
      <c r="Y13" s="7"/>
      <c r="Z13" s="4"/>
      <c r="AA13" s="4"/>
      <c r="AB13" s="8"/>
      <c r="AC13" s="2"/>
      <c r="AD13" s="14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</row>
    <row r="14" spans="1:54" ht="12.75" customHeight="1" thickBot="1" x14ac:dyDescent="0.25">
      <c r="A14" s="32"/>
      <c r="B14" s="4"/>
      <c r="C14" s="4"/>
      <c r="D14" s="4"/>
      <c r="E14" s="5"/>
      <c r="F14" s="6"/>
      <c r="G14" s="13"/>
      <c r="H14" s="7"/>
      <c r="I14" s="7"/>
      <c r="J14" s="7"/>
      <c r="K14" s="7"/>
      <c r="L14" s="7"/>
      <c r="M14" s="7"/>
      <c r="N14" s="7"/>
      <c r="O14" s="4"/>
      <c r="P14" s="4"/>
      <c r="Q14" s="4"/>
      <c r="U14" s="16"/>
      <c r="V14" s="16"/>
      <c r="W14" s="16"/>
      <c r="X14" s="16"/>
      <c r="Y14" s="16"/>
      <c r="Z14" s="14"/>
      <c r="AA14" s="14"/>
      <c r="AB14" s="16"/>
      <c r="AC14" s="2"/>
      <c r="AD14" s="14"/>
    </row>
    <row r="15" spans="1:54" ht="12.75" customHeight="1" thickBot="1" x14ac:dyDescent="0.25">
      <c r="A15" s="32"/>
      <c r="B15" s="252" t="s">
        <v>109</v>
      </c>
      <c r="C15" s="244"/>
      <c r="D15" s="244"/>
      <c r="E15" s="244"/>
      <c r="F15" s="253"/>
      <c r="G15" s="40" t="s">
        <v>23</v>
      </c>
      <c r="H15" s="244" t="s">
        <v>31</v>
      </c>
      <c r="I15" s="244"/>
      <c r="J15" s="244"/>
      <c r="K15" s="244"/>
      <c r="L15" s="253" t="s">
        <v>11</v>
      </c>
      <c r="M15" s="253"/>
      <c r="N15" s="254"/>
      <c r="O15" s="240" t="s">
        <v>18</v>
      </c>
      <c r="P15" s="240"/>
      <c r="Q15" s="241"/>
      <c r="U15" s="16"/>
      <c r="V15" s="16"/>
      <c r="W15" s="16"/>
      <c r="X15" s="16"/>
      <c r="Y15" s="16"/>
      <c r="Z15" s="14"/>
      <c r="AA15" s="14"/>
      <c r="AB15" s="16"/>
      <c r="AC15" s="2"/>
      <c r="AD15" s="14"/>
    </row>
    <row r="16" spans="1:54" ht="12.75" customHeight="1" thickBot="1" x14ac:dyDescent="0.25">
      <c r="A16" s="32"/>
      <c r="B16" s="191" t="s">
        <v>12</v>
      </c>
      <c r="C16" s="192" t="s">
        <v>17</v>
      </c>
      <c r="D16" s="194" t="s">
        <v>5</v>
      </c>
      <c r="E16" s="195" t="s">
        <v>6</v>
      </c>
      <c r="F16" s="117" t="s">
        <v>7</v>
      </c>
      <c r="G16" s="189" t="s">
        <v>13</v>
      </c>
      <c r="H16" s="190" t="s">
        <v>4</v>
      </c>
      <c r="I16" s="190" t="s">
        <v>5</v>
      </c>
      <c r="J16" s="189" t="s">
        <v>9</v>
      </c>
      <c r="K16" s="41" t="s">
        <v>7</v>
      </c>
      <c r="L16" s="188" t="s">
        <v>8</v>
      </c>
      <c r="M16" s="188" t="s">
        <v>10</v>
      </c>
      <c r="N16" s="124" t="s">
        <v>7</v>
      </c>
      <c r="O16" s="242"/>
      <c r="P16" s="242"/>
      <c r="Q16" s="243"/>
      <c r="U16" s="19"/>
      <c r="V16" s="19"/>
      <c r="W16" s="19"/>
      <c r="X16" s="19"/>
      <c r="Y16" s="19"/>
      <c r="Z16" s="21"/>
      <c r="AA16" s="21"/>
      <c r="AB16" s="19"/>
      <c r="AC16" s="2"/>
      <c r="AD16" s="21"/>
    </row>
    <row r="17" spans="1:30" ht="12.75" customHeight="1" x14ac:dyDescent="0.2">
      <c r="A17" s="32"/>
      <c r="B17" s="118">
        <f>IFERROR(INDEX(PERFIL_PUXADOR!$A:$A,MATCH(D17,PERFIL_PUXADOR!$B:$B,0)),"")</f>
        <v>2189</v>
      </c>
      <c r="C17" s="221">
        <f>2*F6</f>
        <v>4.8159999999999998</v>
      </c>
      <c r="D17" s="99" t="s">
        <v>458</v>
      </c>
      <c r="E17" s="35">
        <f>IFERROR(VLOOKUP(B17,PERFIL_PUXADOR!$A:$C,3,0),"")</f>
        <v>104.9</v>
      </c>
      <c r="F17" s="107">
        <f>IFERROR(C17*E17,"")</f>
        <v>505.19839999999999</v>
      </c>
      <c r="G17" s="113">
        <f>C17</f>
        <v>4.8159999999999998</v>
      </c>
      <c r="H17" s="42" t="str">
        <f>IFERROR(INDEX(BaseExtra[Código],MATCH(I17,BaseExtra[Item],0)),"")</f>
        <v/>
      </c>
      <c r="I17" s="95"/>
      <c r="J17" s="38" t="str">
        <f>IFERROR(VLOOKUP(H17,BaseExtra[],3,0),"")</f>
        <v/>
      </c>
      <c r="K17" s="107" t="str">
        <f>IFERROR(E6*F6*J17,"")</f>
        <v/>
      </c>
      <c r="L17" s="92">
        <v>0</v>
      </c>
      <c r="M17" s="126">
        <f>SUM(H6,M6,Q6,F17,K17,EXTRAS!$C$11)</f>
        <v>991.92537919999995</v>
      </c>
      <c r="N17" s="104">
        <f>PRODUCT(L17,M17)</f>
        <v>0</v>
      </c>
      <c r="O17" s="234">
        <f>SUM(N17:N24)</f>
        <v>0</v>
      </c>
      <c r="P17" s="234"/>
      <c r="Q17" s="235"/>
      <c r="U17" s="19"/>
      <c r="V17" s="19"/>
      <c r="W17" s="19"/>
      <c r="X17" s="19"/>
      <c r="Y17" s="19"/>
      <c r="Z17" s="21"/>
      <c r="AA17" s="21"/>
      <c r="AB17" s="19"/>
      <c r="AC17" s="2"/>
      <c r="AD17" s="21"/>
    </row>
    <row r="18" spans="1:30" ht="12.75" customHeight="1" x14ac:dyDescent="0.2">
      <c r="A18" s="32"/>
      <c r="B18" s="77" t="str">
        <f>IFERROR(INDEX(PERFIL_PUXADOR!$A:$A,MATCH(D18,PERFIL_PUXADOR!$B:$B,0)),"")</f>
        <v xml:space="preserve">006082              </v>
      </c>
      <c r="C18" s="220">
        <f t="shared" ref="C18:C24" si="5">2*F7</f>
        <v>0</v>
      </c>
      <c r="D18" s="98" t="s">
        <v>282</v>
      </c>
      <c r="E18" s="35">
        <f>IFERROR(VLOOKUP(B18,PERFIL_PUXADOR!$A:$C,3,0),"")</f>
        <v>106.5</v>
      </c>
      <c r="F18" s="108">
        <f t="shared" ref="F18:F24" si="6">IFERROR(C18*E18,"")</f>
        <v>0</v>
      </c>
      <c r="G18" s="114">
        <f t="shared" ref="G18:G24" si="7">C18</f>
        <v>0</v>
      </c>
      <c r="H18" s="36">
        <f>IFERROR(INDEX(BaseExtra[Código],MATCH(I18,BaseExtra[Item],0)),"")</f>
        <v>1</v>
      </c>
      <c r="I18" s="96" t="s">
        <v>64</v>
      </c>
      <c r="J18" s="35">
        <f>IFERROR(VLOOKUP(H18,BaseExtra[],3,0),"")</f>
        <v>25</v>
      </c>
      <c r="K18" s="108">
        <f t="shared" ref="K18:K24" si="8">IFERROR(E7*F7*J18,"")</f>
        <v>0</v>
      </c>
      <c r="L18" s="93">
        <v>0</v>
      </c>
      <c r="M18" s="39">
        <f>SUM(H7,M7,Q7,F18,K18,EXTRAS!$C$11)</f>
        <v>60</v>
      </c>
      <c r="N18" s="105">
        <f t="shared" ref="N18:N24" si="9">PRODUCT(L18,M18)</f>
        <v>0</v>
      </c>
      <c r="O18" s="236"/>
      <c r="P18" s="236"/>
      <c r="Q18" s="237"/>
    </row>
    <row r="19" spans="1:30" ht="12.75" customHeight="1" x14ac:dyDescent="0.2">
      <c r="A19" s="32"/>
      <c r="B19" s="77" t="str">
        <f>IFERROR(INDEX(PERFIL_PUXADOR!$A:$A,MATCH(D19,PERFIL_PUXADOR!$B:$B,0)),"")</f>
        <v xml:space="preserve">012035              </v>
      </c>
      <c r="C19" s="220">
        <f t="shared" si="5"/>
        <v>0</v>
      </c>
      <c r="D19" s="98" t="s">
        <v>284</v>
      </c>
      <c r="E19" s="35">
        <f>IFERROR(VLOOKUP(B19,PERFIL_PUXADOR!$A:$C,3,0),"")</f>
        <v>93.24</v>
      </c>
      <c r="F19" s="108">
        <f t="shared" si="6"/>
        <v>0</v>
      </c>
      <c r="G19" s="114">
        <f t="shared" si="7"/>
        <v>0</v>
      </c>
      <c r="H19" s="36">
        <f>IFERROR(INDEX(BaseExtra[Código],MATCH(I19,BaseExtra[Item],0)),"")</f>
        <v>1</v>
      </c>
      <c r="I19" s="96" t="s">
        <v>64</v>
      </c>
      <c r="J19" s="35">
        <f>IFERROR(VLOOKUP(H19,BaseExtra[],3,0),"")</f>
        <v>25</v>
      </c>
      <c r="K19" s="108">
        <f t="shared" si="8"/>
        <v>0</v>
      </c>
      <c r="L19" s="93">
        <v>0</v>
      </c>
      <c r="M19" s="39">
        <f>SUM(H8,M8,Q8,F19,K19,EXTRAS!$C$11)</f>
        <v>60</v>
      </c>
      <c r="N19" s="105">
        <f t="shared" si="9"/>
        <v>0</v>
      </c>
      <c r="O19" s="236"/>
      <c r="P19" s="236"/>
      <c r="Q19" s="237"/>
      <c r="V19" s="15"/>
      <c r="W19" s="15"/>
      <c r="Y19" s="1"/>
      <c r="AB19" s="15"/>
      <c r="AC19" s="15"/>
    </row>
    <row r="20" spans="1:30" ht="12.75" customHeight="1" x14ac:dyDescent="0.2">
      <c r="A20" s="32"/>
      <c r="B20" s="77" t="str">
        <f>IFERROR(INDEX(PERFIL_PUXADOR!$A:$A,MATCH(D20,PERFIL_PUXADOR!$B:$B,0)),"")</f>
        <v/>
      </c>
      <c r="C20" s="220">
        <f t="shared" si="5"/>
        <v>0</v>
      </c>
      <c r="D20" s="98"/>
      <c r="E20" s="35" t="str">
        <f>IFERROR(VLOOKUP(B20,PERFIL_PUXADOR!$A:$C,3,0),"")</f>
        <v/>
      </c>
      <c r="F20" s="108" t="str">
        <f t="shared" si="6"/>
        <v/>
      </c>
      <c r="G20" s="114">
        <f t="shared" si="7"/>
        <v>0</v>
      </c>
      <c r="H20" s="36" t="str">
        <f>IFERROR(INDEX(BaseExtra[Código],MATCH(I20,BaseExtra[Item],0)),"")</f>
        <v/>
      </c>
      <c r="I20" s="96"/>
      <c r="J20" s="35" t="str">
        <f>IFERROR(VLOOKUP(H20,BaseExtra[],3,0),"")</f>
        <v/>
      </c>
      <c r="K20" s="108" t="str">
        <f t="shared" si="8"/>
        <v/>
      </c>
      <c r="L20" s="93">
        <v>0</v>
      </c>
      <c r="M20" s="39">
        <f>SUM(H9,M9,Q9,F20,K20,EXTRAS!$C$11)</f>
        <v>60</v>
      </c>
      <c r="N20" s="105">
        <f t="shared" si="9"/>
        <v>0</v>
      </c>
      <c r="O20" s="236"/>
      <c r="P20" s="236"/>
      <c r="Q20" s="237"/>
      <c r="V20" s="15"/>
      <c r="W20" s="15"/>
      <c r="Y20" s="1"/>
      <c r="AB20" s="15"/>
      <c r="AC20" s="15"/>
    </row>
    <row r="21" spans="1:30" ht="12.75" customHeight="1" x14ac:dyDescent="0.2">
      <c r="A21" s="32"/>
      <c r="B21" s="77" t="str">
        <f>IFERROR(INDEX(PERFIL_PUXADOR!$A:$A,MATCH(D21,PERFIL_PUXADOR!$B:$B,0)),"")</f>
        <v/>
      </c>
      <c r="C21" s="220">
        <f t="shared" si="5"/>
        <v>0</v>
      </c>
      <c r="D21" s="98"/>
      <c r="E21" s="35" t="str">
        <f>IFERROR(VLOOKUP(B21,PERFIL_PUXADOR!$A:$C,3,0),"")</f>
        <v/>
      </c>
      <c r="F21" s="108" t="str">
        <f t="shared" si="6"/>
        <v/>
      </c>
      <c r="G21" s="114">
        <f t="shared" si="7"/>
        <v>0</v>
      </c>
      <c r="H21" s="36" t="str">
        <f>IFERROR(INDEX(BaseExtra[Código],MATCH(I21,BaseExtra[Item],0)),"")</f>
        <v/>
      </c>
      <c r="I21" s="96"/>
      <c r="J21" s="35" t="str">
        <f>IFERROR(VLOOKUP(H21,BaseExtra[],3,0),"")</f>
        <v/>
      </c>
      <c r="K21" s="108" t="str">
        <f t="shared" si="8"/>
        <v/>
      </c>
      <c r="L21" s="93">
        <v>0</v>
      </c>
      <c r="M21" s="39">
        <f>SUM(H10,M10,Q10,F21,K21,EXTRAS!$C$11)</f>
        <v>60</v>
      </c>
      <c r="N21" s="105">
        <f t="shared" si="9"/>
        <v>0</v>
      </c>
      <c r="O21" s="236"/>
      <c r="P21" s="236"/>
      <c r="Q21" s="237"/>
      <c r="V21" s="15"/>
      <c r="W21" s="15"/>
      <c r="Y21" s="1"/>
      <c r="AB21" s="15"/>
      <c r="AC21" s="15"/>
    </row>
    <row r="22" spans="1:30" ht="12.75" customHeight="1" x14ac:dyDescent="0.2">
      <c r="A22" s="32"/>
      <c r="B22" s="77" t="str">
        <f>IFERROR(INDEX(PERFIL_PUXADOR!$A:$A,MATCH(D22,PERFIL_PUXADOR!$B:$B,0)),"")</f>
        <v/>
      </c>
      <c r="C22" s="220">
        <f t="shared" si="5"/>
        <v>0</v>
      </c>
      <c r="D22" s="98"/>
      <c r="E22" s="35" t="str">
        <f>IFERROR(VLOOKUP(B22,PERFIL_PUXADOR!$A:$C,3,0),"")</f>
        <v/>
      </c>
      <c r="F22" s="108" t="str">
        <f t="shared" si="6"/>
        <v/>
      </c>
      <c r="G22" s="114">
        <f t="shared" si="7"/>
        <v>0</v>
      </c>
      <c r="H22" s="36" t="str">
        <f>IFERROR(INDEX(BaseExtra[Código],MATCH(I22,BaseExtra[Item],0)),"")</f>
        <v/>
      </c>
      <c r="I22" s="96"/>
      <c r="J22" s="35" t="str">
        <f>IFERROR(VLOOKUP(H22,BaseExtra[],3,0),"")</f>
        <v/>
      </c>
      <c r="K22" s="108" t="str">
        <f t="shared" si="8"/>
        <v/>
      </c>
      <c r="L22" s="93">
        <v>0</v>
      </c>
      <c r="M22" s="39">
        <f>SUM(H11,M11,Q11,F22,K22,EXTRAS!$C$11)</f>
        <v>60</v>
      </c>
      <c r="N22" s="105">
        <f t="shared" si="9"/>
        <v>0</v>
      </c>
      <c r="O22" s="236"/>
      <c r="P22" s="236"/>
      <c r="Q22" s="237"/>
      <c r="V22" s="15"/>
      <c r="W22" s="15"/>
      <c r="Y22" s="1"/>
      <c r="AB22" s="15"/>
      <c r="AC22" s="15"/>
    </row>
    <row r="23" spans="1:30" ht="12.75" customHeight="1" x14ac:dyDescent="0.2">
      <c r="A23" s="32"/>
      <c r="B23" s="77" t="str">
        <f>IFERROR(INDEX(PERFIL_PUXADOR!$A:$A,MATCH(D23,PERFIL_PUXADOR!$B:$B,0)),"")</f>
        <v/>
      </c>
      <c r="C23" s="220">
        <f t="shared" si="5"/>
        <v>0</v>
      </c>
      <c r="D23" s="98"/>
      <c r="E23" s="35" t="str">
        <f>IFERROR(VLOOKUP(B23,PERFIL_PUXADOR!$A:$C,3,0),"")</f>
        <v/>
      </c>
      <c r="F23" s="108" t="str">
        <f t="shared" si="6"/>
        <v/>
      </c>
      <c r="G23" s="114">
        <f t="shared" si="7"/>
        <v>0</v>
      </c>
      <c r="H23" s="36" t="str">
        <f>IFERROR(INDEX(BaseExtra[Código],MATCH(I23,BaseExtra[Item],0)),"")</f>
        <v/>
      </c>
      <c r="I23" s="96"/>
      <c r="J23" s="35" t="str">
        <f>IFERROR(VLOOKUP(H23,BaseExtra[],3,0),"")</f>
        <v/>
      </c>
      <c r="K23" s="108" t="str">
        <f t="shared" si="8"/>
        <v/>
      </c>
      <c r="L23" s="93">
        <v>0</v>
      </c>
      <c r="M23" s="39">
        <f>SUM(H12,M12,Q12,F23,K23,EXTRAS!$C$11)</f>
        <v>60</v>
      </c>
      <c r="N23" s="105">
        <f t="shared" si="9"/>
        <v>0</v>
      </c>
      <c r="O23" s="236"/>
      <c r="P23" s="236"/>
      <c r="Q23" s="237"/>
      <c r="V23" s="15"/>
      <c r="W23" s="15"/>
      <c r="Y23" s="1"/>
      <c r="AB23" s="15"/>
      <c r="AC23" s="15"/>
    </row>
    <row r="24" spans="1:30" ht="14.25" customHeight="1" thickBot="1" x14ac:dyDescent="0.25">
      <c r="A24" s="32"/>
      <c r="B24" s="78" t="str">
        <f>IFERROR(INDEX(PERFIL_PUXADOR!$A:$A,MATCH(D24,PERFIL_PUXADOR!$B:$B,0)),"")</f>
        <v/>
      </c>
      <c r="C24" s="222">
        <f t="shared" si="5"/>
        <v>0</v>
      </c>
      <c r="D24" s="181"/>
      <c r="E24" s="43" t="str">
        <f>IFERROR(VLOOKUP(B24,PERFIL_PUXADOR!$A:$C,3,0),"")</f>
        <v/>
      </c>
      <c r="F24" s="109" t="str">
        <f t="shared" si="6"/>
        <v/>
      </c>
      <c r="G24" s="115">
        <f t="shared" si="7"/>
        <v>0</v>
      </c>
      <c r="H24" s="116" t="str">
        <f>IFERROR(INDEX(BaseExtra[Código],MATCH(I24,BaseExtra[Item],0)),"")</f>
        <v/>
      </c>
      <c r="I24" s="97"/>
      <c r="J24" s="43" t="str">
        <f>IFERROR(VLOOKUP(H24,BaseExtra[],3,0),"")</f>
        <v/>
      </c>
      <c r="K24" s="109" t="str">
        <f t="shared" si="8"/>
        <v/>
      </c>
      <c r="L24" s="94">
        <v>0</v>
      </c>
      <c r="M24" s="44">
        <f>SUM(H13,M13,Q13,F24,K24,EXTRAS!$C$11)</f>
        <v>60</v>
      </c>
      <c r="N24" s="106">
        <f t="shared" si="9"/>
        <v>0</v>
      </c>
      <c r="O24" s="238"/>
      <c r="P24" s="238"/>
      <c r="Q24" s="239"/>
    </row>
    <row r="25" spans="1:30" ht="12.75" customHeight="1" x14ac:dyDescent="0.2">
      <c r="A25" s="32"/>
      <c r="B25" s="4"/>
      <c r="C25" s="4"/>
      <c r="D25" s="4"/>
      <c r="E25" s="5"/>
      <c r="F25" s="6"/>
      <c r="G25" s="13"/>
      <c r="H25" s="7"/>
      <c r="I25" s="7"/>
      <c r="J25" s="7"/>
      <c r="K25" s="7"/>
      <c r="L25" s="7"/>
      <c r="M25" s="7"/>
      <c r="N25" s="7"/>
      <c r="O25" s="4"/>
      <c r="P25" s="4"/>
      <c r="Q25" s="4"/>
    </row>
    <row r="26" spans="1:30" x14ac:dyDescent="0.2">
      <c r="A26" s="32"/>
      <c r="B26" s="83" t="s">
        <v>108</v>
      </c>
      <c r="H26" s="19"/>
      <c r="I26" s="19"/>
      <c r="J26" s="19"/>
      <c r="K26" s="16"/>
      <c r="L26" s="16"/>
      <c r="M26" s="16"/>
      <c r="N26" s="16"/>
      <c r="O26" s="14"/>
    </row>
    <row r="27" spans="1:30" hidden="1" x14ac:dyDescent="0.2">
      <c r="A27" s="32"/>
      <c r="H27" s="19"/>
      <c r="I27" s="19"/>
      <c r="J27" s="19"/>
      <c r="K27" s="16"/>
      <c r="L27" s="16"/>
      <c r="M27" s="16"/>
      <c r="N27" s="16"/>
      <c r="O27" s="14"/>
    </row>
    <row r="28" spans="1:30" hidden="1" x14ac:dyDescent="0.2">
      <c r="A28" s="32"/>
      <c r="L28" s="19"/>
      <c r="M28" s="19"/>
      <c r="N28" s="19"/>
      <c r="O28" s="21"/>
    </row>
    <row r="29" spans="1:30" hidden="1" x14ac:dyDescent="0.2">
      <c r="A29" s="32"/>
      <c r="L29" s="19"/>
      <c r="M29" s="19"/>
      <c r="N29" s="19"/>
      <c r="O29" s="21"/>
    </row>
  </sheetData>
  <sheetProtection sheet="1" objects="1" scenarios="1" selectLockedCells="1"/>
  <mergeCells count="9">
    <mergeCell ref="O17:Q24"/>
    <mergeCell ref="B3:Q3"/>
    <mergeCell ref="B4:H4"/>
    <mergeCell ref="I4:M4"/>
    <mergeCell ref="N4:Q4"/>
    <mergeCell ref="B15:F15"/>
    <mergeCell ref="H15:K15"/>
    <mergeCell ref="L15:N15"/>
    <mergeCell ref="O15:Q16"/>
  </mergeCells>
  <dataValidations count="5">
    <dataValidation type="list" allowBlank="1" showInputMessage="1" showErrorMessage="1" sqref="D17:D24">
      <formula1>INDIRECT($B$15)</formula1>
    </dataValidation>
    <dataValidation type="list" allowBlank="1" showInputMessage="1" showErrorMessage="1" sqref="O6:O13">
      <formula1>INDIRECT($N$4)</formula1>
    </dataValidation>
    <dataValidation type="list" allowBlank="1" showInputMessage="1" showErrorMessage="1" sqref="J6:J13">
      <formula1>INDIRECT($I$4)</formula1>
    </dataValidation>
    <dataValidation type="list" allowBlank="1" showInputMessage="1" showErrorMessage="1" sqref="C6:C13">
      <formula1>INDIRECT($B$4)</formula1>
    </dataValidation>
    <dataValidation type="list" allowBlank="1" showInputMessage="1" showErrorMessage="1" sqref="I17:I24">
      <formula1>INDIRECT($B$26)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ignoredErrors>
    <ignoredError sqref="C17" unlocked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B29"/>
  <sheetViews>
    <sheetView showGridLines="0" topLeftCell="A2" zoomScale="85" zoomScaleNormal="85" workbookViewId="0">
      <selection activeCell="J12" sqref="J12"/>
    </sheetView>
  </sheetViews>
  <sheetFormatPr defaultColWidth="0" defaultRowHeight="15" zeroHeight="1" x14ac:dyDescent="0.25"/>
  <cols>
    <col min="1" max="1" width="2.28515625" style="33" customWidth="1"/>
    <col min="2" max="2" width="8.42578125" customWidth="1"/>
    <col min="3" max="3" width="32.85546875" customWidth="1"/>
    <col min="4" max="4" width="12" customWidth="1"/>
    <col min="5" max="5" width="12.5703125" bestFit="1" customWidth="1"/>
    <col min="6" max="6" width="11.5703125" bestFit="1" customWidth="1"/>
    <col min="7" max="7" width="5.85546875" hidden="1" customWidth="1"/>
    <col min="8" max="8" width="9.140625" customWidth="1"/>
    <col min="9" max="9" width="17.85546875" customWidth="1"/>
    <col min="10" max="10" width="30" customWidth="1"/>
    <col min="11" max="11" width="9.5703125" customWidth="1"/>
    <col min="12" max="13" width="11" customWidth="1"/>
    <col min="14" max="14" width="11.42578125" customWidth="1"/>
    <col min="15" max="15" width="24.85546875" customWidth="1"/>
    <col min="16" max="17" width="10.85546875" customWidth="1"/>
    <col min="18" max="18" width="0.85546875" customWidth="1"/>
    <col min="19" max="19" width="6.85546875" customWidth="1"/>
    <col min="20" max="20" width="9.140625" customWidth="1"/>
    <col min="21" max="21" width="27.28515625" customWidth="1"/>
    <col min="22" max="22" width="9.140625" customWidth="1"/>
    <col min="23" max="23" width="16.85546875" customWidth="1"/>
    <col min="24" max="24" width="3.85546875" customWidth="1"/>
    <col min="25" max="25" width="9.140625" style="33" hidden="1"/>
    <col min="26" max="16382" width="9.140625" hidden="1"/>
    <col min="16383" max="16384" width="1.42578125" hidden="1"/>
  </cols>
  <sheetData>
    <row r="1" spans="1:25" ht="15.75" hidden="1" thickBot="1" x14ac:dyDescent="0.3">
      <c r="A1" s="32"/>
      <c r="B1" s="2"/>
      <c r="C1" s="2"/>
      <c r="D1" s="2"/>
      <c r="E1" s="10"/>
      <c r="F1" s="22"/>
      <c r="G1" s="22"/>
      <c r="H1" s="3"/>
      <c r="I1" s="3"/>
      <c r="J1" s="3"/>
      <c r="K1" s="3"/>
      <c r="L1" s="3"/>
      <c r="M1" s="3"/>
      <c r="N1" s="3"/>
      <c r="O1" s="2"/>
      <c r="P1" s="2"/>
      <c r="Q1" s="2"/>
    </row>
    <row r="2" spans="1:25" ht="16.5" thickBot="1" x14ac:dyDescent="0.3">
      <c r="A2" s="32"/>
      <c r="B2" s="258" t="s">
        <v>418</v>
      </c>
      <c r="C2" s="259"/>
      <c r="D2" s="259"/>
      <c r="E2" s="259"/>
      <c r="F2" s="259"/>
      <c r="G2" s="259"/>
      <c r="H2" s="259"/>
      <c r="I2" s="259"/>
      <c r="J2" s="259"/>
      <c r="K2" s="259"/>
      <c r="L2" s="259"/>
      <c r="M2" s="259"/>
      <c r="N2" s="259"/>
      <c r="O2" s="259"/>
      <c r="P2" s="259"/>
      <c r="Q2" s="259"/>
      <c r="R2" s="259"/>
      <c r="S2" s="259"/>
      <c r="T2" s="259"/>
      <c r="U2" s="259"/>
      <c r="V2" s="259"/>
      <c r="W2" s="259"/>
    </row>
    <row r="3" spans="1:25" ht="15.75" thickBot="1" x14ac:dyDescent="0.3">
      <c r="A3" s="34"/>
      <c r="B3" s="245" t="s">
        <v>61</v>
      </c>
      <c r="C3" s="246"/>
      <c r="D3" s="246"/>
      <c r="E3" s="246"/>
      <c r="F3" s="246"/>
      <c r="G3" s="246"/>
      <c r="H3" s="247"/>
      <c r="I3" s="270" t="s">
        <v>62</v>
      </c>
      <c r="J3" s="271"/>
      <c r="K3" s="271"/>
      <c r="L3" s="268"/>
      <c r="M3" s="256" t="s">
        <v>107</v>
      </c>
      <c r="N3" s="256"/>
      <c r="O3" s="256"/>
      <c r="P3" s="256"/>
      <c r="Q3" s="257"/>
      <c r="S3" s="255" t="s">
        <v>107</v>
      </c>
      <c r="T3" s="256"/>
      <c r="U3" s="256"/>
      <c r="V3" s="256"/>
      <c r="W3" s="257"/>
    </row>
    <row r="4" spans="1:25" s="54" customFormat="1" ht="34.5" customHeight="1" thickBot="1" x14ac:dyDescent="0.3">
      <c r="A4" s="53"/>
      <c r="B4" s="144" t="s">
        <v>4</v>
      </c>
      <c r="C4" s="145" t="s">
        <v>5</v>
      </c>
      <c r="D4" s="145" t="s">
        <v>6</v>
      </c>
      <c r="E4" s="146" t="s">
        <v>73</v>
      </c>
      <c r="F4" s="147" t="s">
        <v>74</v>
      </c>
      <c r="G4" s="148" t="s">
        <v>13</v>
      </c>
      <c r="H4" s="129" t="s">
        <v>7</v>
      </c>
      <c r="I4" s="149" t="s">
        <v>12</v>
      </c>
      <c r="J4" s="150" t="s">
        <v>5</v>
      </c>
      <c r="K4" s="150" t="s">
        <v>6</v>
      </c>
      <c r="L4" s="133" t="s">
        <v>7</v>
      </c>
      <c r="M4" s="149" t="s">
        <v>110</v>
      </c>
      <c r="N4" s="145" t="s">
        <v>4</v>
      </c>
      <c r="O4" s="145" t="s">
        <v>5</v>
      </c>
      <c r="P4" s="145" t="s">
        <v>9</v>
      </c>
      <c r="Q4" s="133" t="s">
        <v>7</v>
      </c>
      <c r="S4" s="149" t="s">
        <v>110</v>
      </c>
      <c r="T4" s="145" t="s">
        <v>4</v>
      </c>
      <c r="U4" s="145" t="s">
        <v>5</v>
      </c>
      <c r="V4" s="145" t="s">
        <v>9</v>
      </c>
      <c r="W4" s="133" t="s">
        <v>7</v>
      </c>
      <c r="Y4" s="55"/>
    </row>
    <row r="5" spans="1:25" x14ac:dyDescent="0.25">
      <c r="A5" s="32">
        <v>57</v>
      </c>
      <c r="B5" s="118" t="str">
        <f>IFERROR(INDEX(DIVISORIA_DE_AMBIENTE!$A:$A,MATCH(C5,DIVISORIA_DE_AMBIENTE!$B:$B,0)),"")</f>
        <v xml:space="preserve">011406              </v>
      </c>
      <c r="C5" s="89" t="s">
        <v>434</v>
      </c>
      <c r="D5" s="38">
        <f>IFERROR(VLOOKUP(B5,DIVISORIA_DE_AMBIENTE!$A:$C,3,0),"")</f>
        <v>113.7</v>
      </c>
      <c r="E5" s="172">
        <v>0.81</v>
      </c>
      <c r="F5" s="173">
        <v>2.3250000000000002</v>
      </c>
      <c r="G5" s="211">
        <f t="shared" ref="G5:G12" si="0">(E5)*L16</f>
        <v>0</v>
      </c>
      <c r="H5" s="130">
        <f>IFERROR((SUM(E5+E5)*D5),"")</f>
        <v>184.19400000000002</v>
      </c>
      <c r="I5" s="118" t="str">
        <f>IFERROR(INDEX(DIVISORIA_DE_AMBIENTE!$A:$A,MATCH(J5,DIVISORIA_DE_AMBIENTE!$B:$B,0)),"")</f>
        <v xml:space="preserve">011407              </v>
      </c>
      <c r="J5" s="89" t="s">
        <v>88</v>
      </c>
      <c r="K5" s="38">
        <f>IFERROR(VLOOKUP(I5,DIVISORIA_DE_AMBIENTE!$A:$C,3,0),"")</f>
        <v>62</v>
      </c>
      <c r="L5" s="128">
        <f>IFERROR((E5*K5),"")</f>
        <v>50.220000000000006</v>
      </c>
      <c r="M5" s="212">
        <f>E5*F5</f>
        <v>1.8832500000000003</v>
      </c>
      <c r="N5" s="80" t="str">
        <f>IFERROR(INDEX(BASE_VIDROS!$A:$A,MATCH(O5,BASE_VIDROS!$B:$B,0)),"")</f>
        <v/>
      </c>
      <c r="O5" s="89" t="s">
        <v>415</v>
      </c>
      <c r="P5" s="58" t="str">
        <f>IFERROR(VLOOKUP(N5,BaseVidros[[Codigo]:[Preço]],3,0),"")</f>
        <v/>
      </c>
      <c r="Q5" s="104" t="str">
        <f>IFERROR(M5*P5,"")</f>
        <v/>
      </c>
      <c r="S5" s="212">
        <f>E5*F5</f>
        <v>1.8832500000000003</v>
      </c>
      <c r="T5" s="80" t="str">
        <f>IFERROR(INDEX(BASE_VIDROS!$A:$A,MATCH(U5,BASE_VIDROS!$B:$B,0)),"")</f>
        <v/>
      </c>
      <c r="U5" s="89" t="s">
        <v>415</v>
      </c>
      <c r="V5" s="58" t="str">
        <f>IFERROR(VLOOKUP(T5,BaseVidros[[Codigo]:[Preço]],3,0),"")</f>
        <v/>
      </c>
      <c r="W5" s="104" t="str">
        <f>IFERROR(S5*V5,"")</f>
        <v/>
      </c>
      <c r="Y5" s="33">
        <v>18</v>
      </c>
    </row>
    <row r="6" spans="1:25" x14ac:dyDescent="0.25">
      <c r="A6" s="32">
        <v>57</v>
      </c>
      <c r="B6" s="51" t="str">
        <f>IFERROR(INDEX(DIVISORIA_DE_AMBIENTE!$A:$A,MATCH(C6,DIVISORIA_DE_AMBIENTE!$B:$B,0)),"")</f>
        <v/>
      </c>
      <c r="C6" s="93"/>
      <c r="D6" s="39" t="str">
        <f>IFERROR(VLOOKUP(B6,DIVISORIA_DE_AMBIENTE!$A:$C,3,0),"")</f>
        <v/>
      </c>
      <c r="E6" s="174">
        <v>0</v>
      </c>
      <c r="F6" s="175">
        <v>0</v>
      </c>
      <c r="G6" s="111">
        <f t="shared" si="0"/>
        <v>0</v>
      </c>
      <c r="H6" s="131" t="str">
        <f t="shared" ref="H6:H12" si="1">IFERROR((SUM(E6+E6)*D6),"")</f>
        <v/>
      </c>
      <c r="I6" s="51" t="str">
        <f>IFERROR(INDEX(DIVISORIA_DE_AMBIENTE!$A:$A,MATCH(J6,DIVISORIA_DE_AMBIENTE!$B:$B,0)),"")</f>
        <v/>
      </c>
      <c r="J6" s="93"/>
      <c r="K6" s="39" t="str">
        <f>IFERROR(VLOOKUP(I6,DIVISORIA_DE_AMBIENTE!$A:$C,3,0),"")</f>
        <v/>
      </c>
      <c r="L6" s="134" t="str">
        <f t="shared" ref="L6:L12" si="2">IFERROR((E6*K6),"")</f>
        <v/>
      </c>
      <c r="M6" s="213">
        <f t="shared" ref="M6:M12" si="3">E6*F6</f>
        <v>0</v>
      </c>
      <c r="N6" s="81" t="str">
        <f>IFERROR(INDEX(BASE_VIDROS!$A:$A,MATCH(O6,BASE_VIDROS!$B:$B,0)),"")</f>
        <v/>
      </c>
      <c r="O6" s="90"/>
      <c r="P6" s="56" t="str">
        <f>IFERROR(VLOOKUP(N6,BaseVidros[[Codigo]:[Preço]],3,0),"")</f>
        <v/>
      </c>
      <c r="Q6" s="105" t="str">
        <f t="shared" ref="Q6:Q12" si="4">IFERROR(M6*P6,"")</f>
        <v/>
      </c>
      <c r="S6" s="213">
        <f t="shared" ref="S6:S12" si="5">E6*F6</f>
        <v>0</v>
      </c>
      <c r="T6" s="81" t="str">
        <f>IFERROR(INDEX(BASE_VIDROS!$A:$A,MATCH(U6,BASE_VIDROS!$B:$B,0)),"")</f>
        <v/>
      </c>
      <c r="U6" s="90"/>
      <c r="V6" s="56" t="str">
        <f>IFERROR(VLOOKUP(T6,BaseVidros[[Codigo]:[Preço]],3,0),"")</f>
        <v/>
      </c>
      <c r="W6" s="105" t="str">
        <f t="shared" ref="W6:W12" si="6">IFERROR(S6*V6,"")</f>
        <v/>
      </c>
      <c r="Y6" s="33">
        <v>18</v>
      </c>
    </row>
    <row r="7" spans="1:25" x14ac:dyDescent="0.25">
      <c r="A7" s="32">
        <v>57</v>
      </c>
      <c r="B7" s="51" t="str">
        <f>IFERROR(INDEX(DIVISORIA_DE_AMBIENTE!$A:$A,MATCH(C7,DIVISORIA_DE_AMBIENTE!$B:$B,0)),"")</f>
        <v/>
      </c>
      <c r="C7" s="93"/>
      <c r="D7" s="39" t="str">
        <f>IFERROR(VLOOKUP(B7,DIVISORIA_DE_AMBIENTE!$A:$C,3,0),"")</f>
        <v/>
      </c>
      <c r="E7" s="174">
        <v>0</v>
      </c>
      <c r="F7" s="175">
        <v>0</v>
      </c>
      <c r="G7" s="111">
        <f t="shared" si="0"/>
        <v>0</v>
      </c>
      <c r="H7" s="131" t="str">
        <f t="shared" si="1"/>
        <v/>
      </c>
      <c r="I7" s="51" t="str">
        <f>IFERROR(INDEX(DIVISORIA_DE_AMBIENTE!$A:$A,MATCH(J7,DIVISORIA_DE_AMBIENTE!$B:$B,0)),"")</f>
        <v/>
      </c>
      <c r="J7" s="93"/>
      <c r="K7" s="39" t="str">
        <f>IFERROR(VLOOKUP(I7,DIVISORIA_DE_AMBIENTE!$A:$C,3,0),"")</f>
        <v/>
      </c>
      <c r="L7" s="134" t="str">
        <f t="shared" si="2"/>
        <v/>
      </c>
      <c r="M7" s="213">
        <f t="shared" si="3"/>
        <v>0</v>
      </c>
      <c r="N7" s="81" t="str">
        <f>IFERROR(INDEX(BASE_VIDROS!$A:$A,MATCH(O7,BASE_VIDROS!$B:$B,0)),"")</f>
        <v/>
      </c>
      <c r="O7" s="90"/>
      <c r="P7" s="56" t="str">
        <f>IFERROR(VLOOKUP(N7,BaseVidros[[Codigo]:[Preço]],3,0),"")</f>
        <v/>
      </c>
      <c r="Q7" s="105" t="str">
        <f t="shared" si="4"/>
        <v/>
      </c>
      <c r="S7" s="213">
        <f t="shared" si="5"/>
        <v>0</v>
      </c>
      <c r="T7" s="81" t="str">
        <f>IFERROR(INDEX(BASE_VIDROS!$A:$A,MATCH(U7,BASE_VIDROS!$B:$B,0)),"")</f>
        <v/>
      </c>
      <c r="U7" s="90"/>
      <c r="V7" s="56" t="str">
        <f>IFERROR(VLOOKUP(T7,BaseVidros[[Codigo]:[Preço]],3,0),"")</f>
        <v/>
      </c>
      <c r="W7" s="105" t="str">
        <f t="shared" si="6"/>
        <v/>
      </c>
      <c r="Y7" s="33">
        <v>18</v>
      </c>
    </row>
    <row r="8" spans="1:25" x14ac:dyDescent="0.25">
      <c r="A8" s="32">
        <v>57</v>
      </c>
      <c r="B8" s="51" t="str">
        <f>IFERROR(INDEX(DIVISORIA_DE_AMBIENTE!$A:$A,MATCH(C8,DIVISORIA_DE_AMBIENTE!$B:$B,0)),"")</f>
        <v/>
      </c>
      <c r="C8" s="93"/>
      <c r="D8" s="39" t="str">
        <f>IFERROR(VLOOKUP(B8,DIVISORIA_DE_AMBIENTE!$A:$C,3,0),"")</f>
        <v/>
      </c>
      <c r="E8" s="174">
        <v>0</v>
      </c>
      <c r="F8" s="175">
        <v>0</v>
      </c>
      <c r="G8" s="111">
        <f t="shared" si="0"/>
        <v>0</v>
      </c>
      <c r="H8" s="131" t="str">
        <f t="shared" si="1"/>
        <v/>
      </c>
      <c r="I8" s="51" t="str">
        <f>IFERROR(INDEX(DIVISORIA_DE_AMBIENTE!$A:$A,MATCH(J8,DIVISORIA_DE_AMBIENTE!$B:$B,0)),"")</f>
        <v/>
      </c>
      <c r="J8" s="93"/>
      <c r="K8" s="39" t="str">
        <f>IFERROR(VLOOKUP(I8,DIVISORIA_DE_AMBIENTE!$A:$C,3,0),"")</f>
        <v/>
      </c>
      <c r="L8" s="134" t="str">
        <f t="shared" si="2"/>
        <v/>
      </c>
      <c r="M8" s="213">
        <f t="shared" si="3"/>
        <v>0</v>
      </c>
      <c r="N8" s="81" t="str">
        <f>IFERROR(INDEX(BASE_VIDROS!$A:$A,MATCH(O8,BASE_VIDROS!$B:$B,0)),"")</f>
        <v/>
      </c>
      <c r="O8" s="90"/>
      <c r="P8" s="56" t="str">
        <f>IFERROR(VLOOKUP(N8,BaseVidros[[Codigo]:[Preço]],3,0),"")</f>
        <v/>
      </c>
      <c r="Q8" s="105" t="str">
        <f t="shared" si="4"/>
        <v/>
      </c>
      <c r="S8" s="213">
        <f t="shared" si="5"/>
        <v>0</v>
      </c>
      <c r="T8" s="81" t="str">
        <f>IFERROR(INDEX(BASE_VIDROS!$A:$A,MATCH(U8,BASE_VIDROS!$B:$B,0)),"")</f>
        <v/>
      </c>
      <c r="U8" s="90"/>
      <c r="V8" s="56" t="str">
        <f>IFERROR(VLOOKUP(T8,BaseVidros[[Codigo]:[Preço]],3,0),"")</f>
        <v/>
      </c>
      <c r="W8" s="105" t="str">
        <f t="shared" si="6"/>
        <v/>
      </c>
      <c r="Y8" s="33">
        <v>18</v>
      </c>
    </row>
    <row r="9" spans="1:25" x14ac:dyDescent="0.25">
      <c r="A9" s="32">
        <v>57</v>
      </c>
      <c r="B9" s="51" t="str">
        <f>IFERROR(INDEX(DIVISORIA_DE_AMBIENTE!$A:$A,MATCH(C9,DIVISORIA_DE_AMBIENTE!$B:$B,0)),"")</f>
        <v/>
      </c>
      <c r="C9" s="93"/>
      <c r="D9" s="39" t="str">
        <f>IFERROR(VLOOKUP(B9,DIVISORIA_DE_AMBIENTE!$A:$C,3,0),"")</f>
        <v/>
      </c>
      <c r="E9" s="174">
        <v>0</v>
      </c>
      <c r="F9" s="175">
        <v>0</v>
      </c>
      <c r="G9" s="111">
        <f t="shared" si="0"/>
        <v>0</v>
      </c>
      <c r="H9" s="131" t="str">
        <f t="shared" si="1"/>
        <v/>
      </c>
      <c r="I9" s="51" t="str">
        <f>IFERROR(INDEX(DIVISORIA_DE_AMBIENTE!$A:$A,MATCH(J9,DIVISORIA_DE_AMBIENTE!$B:$B,0)),"")</f>
        <v/>
      </c>
      <c r="J9" s="93"/>
      <c r="K9" s="39" t="str">
        <f>IFERROR(VLOOKUP(I9,DIVISORIA_DE_AMBIENTE!$A:$C,3,0),"")</f>
        <v/>
      </c>
      <c r="L9" s="134" t="str">
        <f t="shared" si="2"/>
        <v/>
      </c>
      <c r="M9" s="213">
        <f t="shared" si="3"/>
        <v>0</v>
      </c>
      <c r="N9" s="81" t="str">
        <f>IFERROR(INDEX(BASE_VIDROS!$A:$A,MATCH(O9,BASE_VIDROS!$B:$B,0)),"")</f>
        <v/>
      </c>
      <c r="O9" s="90"/>
      <c r="P9" s="56" t="str">
        <f>IFERROR(VLOOKUP(N9,BaseVidros[[Codigo]:[Preço]],3,0),"")</f>
        <v/>
      </c>
      <c r="Q9" s="105" t="str">
        <f t="shared" si="4"/>
        <v/>
      </c>
      <c r="S9" s="213">
        <f t="shared" si="5"/>
        <v>0</v>
      </c>
      <c r="T9" s="81" t="str">
        <f>IFERROR(INDEX(BASE_VIDROS!$A:$A,MATCH(U9,BASE_VIDROS!$B:$B,0)),"")</f>
        <v/>
      </c>
      <c r="U9" s="90"/>
      <c r="V9" s="56" t="str">
        <f>IFERROR(VLOOKUP(T9,BaseVidros[[Codigo]:[Preço]],3,0),"")</f>
        <v/>
      </c>
      <c r="W9" s="105" t="str">
        <f t="shared" si="6"/>
        <v/>
      </c>
      <c r="Y9" s="33">
        <v>18</v>
      </c>
    </row>
    <row r="10" spans="1:25" x14ac:dyDescent="0.25">
      <c r="A10" s="32">
        <v>57</v>
      </c>
      <c r="B10" s="51" t="str">
        <f>IFERROR(INDEX(DIVISORIA_DE_AMBIENTE!$A:$A,MATCH(C10,DIVISORIA_DE_AMBIENTE!$B:$B,0)),"")</f>
        <v/>
      </c>
      <c r="C10" s="93"/>
      <c r="D10" s="39" t="str">
        <f>IFERROR(VLOOKUP(B10,DIVISORIA_DE_AMBIENTE!$A:$C,3,0),"")</f>
        <v/>
      </c>
      <c r="E10" s="174">
        <v>0</v>
      </c>
      <c r="F10" s="175">
        <v>0</v>
      </c>
      <c r="G10" s="111">
        <f t="shared" si="0"/>
        <v>0</v>
      </c>
      <c r="H10" s="131" t="str">
        <f t="shared" si="1"/>
        <v/>
      </c>
      <c r="I10" s="51" t="str">
        <f>IFERROR(INDEX(DIVISORIA_DE_AMBIENTE!$A:$A,MATCH(J10,DIVISORIA_DE_AMBIENTE!$B:$B,0)),"")</f>
        <v/>
      </c>
      <c r="J10" s="93"/>
      <c r="K10" s="39" t="str">
        <f>IFERROR(VLOOKUP(I10,DIVISORIA_DE_AMBIENTE!$A:$C,3,0),"")</f>
        <v/>
      </c>
      <c r="L10" s="134" t="str">
        <f t="shared" si="2"/>
        <v/>
      </c>
      <c r="M10" s="213">
        <f t="shared" si="3"/>
        <v>0</v>
      </c>
      <c r="N10" s="81" t="str">
        <f>IFERROR(INDEX(BASE_VIDROS!$A:$A,MATCH(O10,BASE_VIDROS!$B:$B,0)),"")</f>
        <v/>
      </c>
      <c r="O10" s="90"/>
      <c r="P10" s="56" t="str">
        <f>IFERROR(VLOOKUP(N10,BaseVidros[[Codigo]:[Preço]],3,0),"")</f>
        <v/>
      </c>
      <c r="Q10" s="105" t="str">
        <f t="shared" si="4"/>
        <v/>
      </c>
      <c r="S10" s="213">
        <f t="shared" si="5"/>
        <v>0</v>
      </c>
      <c r="T10" s="81" t="str">
        <f>IFERROR(INDEX(BASE_VIDROS!$A:$A,MATCH(U10,BASE_VIDROS!$B:$B,0)),"")</f>
        <v/>
      </c>
      <c r="U10" s="90"/>
      <c r="V10" s="56" t="str">
        <f>IFERROR(VLOOKUP(T10,BaseVidros[[Codigo]:[Preço]],3,0),"")</f>
        <v/>
      </c>
      <c r="W10" s="105" t="str">
        <f t="shared" si="6"/>
        <v/>
      </c>
      <c r="Y10" s="33">
        <v>18</v>
      </c>
    </row>
    <row r="11" spans="1:25" x14ac:dyDescent="0.25">
      <c r="A11" s="32">
        <v>57</v>
      </c>
      <c r="B11" s="51" t="str">
        <f>IFERROR(INDEX(DIVISORIA_DE_AMBIENTE!$A:$A,MATCH(C11,DIVISORIA_DE_AMBIENTE!$B:$B,0)),"")</f>
        <v/>
      </c>
      <c r="C11" s="93"/>
      <c r="D11" s="39" t="str">
        <f>IFERROR(VLOOKUP(B11,DIVISORIA_DE_AMBIENTE!$A:$C,3,0),"")</f>
        <v/>
      </c>
      <c r="E11" s="174">
        <v>0</v>
      </c>
      <c r="F11" s="175">
        <v>0</v>
      </c>
      <c r="G11" s="111">
        <f t="shared" si="0"/>
        <v>0</v>
      </c>
      <c r="H11" s="131" t="str">
        <f t="shared" si="1"/>
        <v/>
      </c>
      <c r="I11" s="51" t="str">
        <f>IFERROR(INDEX(DIVISORIA_DE_AMBIENTE!$A:$A,MATCH(J11,DIVISORIA_DE_AMBIENTE!$B:$B,0)),"")</f>
        <v/>
      </c>
      <c r="J11" s="93"/>
      <c r="K11" s="39" t="str">
        <f>IFERROR(VLOOKUP(I11,DIVISORIA_DE_AMBIENTE!$A:$C,3,0),"")</f>
        <v/>
      </c>
      <c r="L11" s="134" t="str">
        <f t="shared" si="2"/>
        <v/>
      </c>
      <c r="M11" s="213">
        <f t="shared" si="3"/>
        <v>0</v>
      </c>
      <c r="N11" s="81" t="str">
        <f>IFERROR(INDEX(BASE_VIDROS!$A:$A,MATCH(O11,BASE_VIDROS!$B:$B,0)),"")</f>
        <v/>
      </c>
      <c r="O11" s="90"/>
      <c r="P11" s="56" t="str">
        <f>IFERROR(VLOOKUP(N11,BaseVidros[[Codigo]:[Preço]],3,0),"")</f>
        <v/>
      </c>
      <c r="Q11" s="105" t="str">
        <f t="shared" si="4"/>
        <v/>
      </c>
      <c r="S11" s="213">
        <f t="shared" si="5"/>
        <v>0</v>
      </c>
      <c r="T11" s="81" t="str">
        <f>IFERROR(INDEX(BASE_VIDROS!$A:$A,MATCH(U11,BASE_VIDROS!$B:$B,0)),"")</f>
        <v/>
      </c>
      <c r="U11" s="90"/>
      <c r="V11" s="56" t="str">
        <f>IFERROR(VLOOKUP(T11,BaseVidros[[Codigo]:[Preço]],3,0),"")</f>
        <v/>
      </c>
      <c r="W11" s="105" t="str">
        <f t="shared" si="6"/>
        <v/>
      </c>
      <c r="Y11" s="33">
        <v>18</v>
      </c>
    </row>
    <row r="12" spans="1:25" ht="15.75" thickBot="1" x14ac:dyDescent="0.3">
      <c r="A12" s="32">
        <v>57</v>
      </c>
      <c r="B12" s="52" t="str">
        <f>IFERROR(INDEX(DIVISORIA_DE_AMBIENTE!$A:$A,MATCH(C12,DIVISORIA_DE_AMBIENTE!$B:$B,0)),"")</f>
        <v/>
      </c>
      <c r="C12" s="94"/>
      <c r="D12" s="44" t="str">
        <f>IFERROR(VLOOKUP(B12,DIVISORIA_DE_AMBIENTE!$A:$C,3,0),"")</f>
        <v/>
      </c>
      <c r="E12" s="176">
        <v>0</v>
      </c>
      <c r="F12" s="177">
        <v>0</v>
      </c>
      <c r="G12" s="112">
        <f t="shared" si="0"/>
        <v>0</v>
      </c>
      <c r="H12" s="132" t="str">
        <f t="shared" si="1"/>
        <v/>
      </c>
      <c r="I12" s="52" t="str">
        <f>IFERROR(INDEX(DIVISORIA_DE_AMBIENTE!$A:$A,MATCH(J12,DIVISORIA_DE_AMBIENTE!$B:$B,0)),"")</f>
        <v/>
      </c>
      <c r="J12" s="94"/>
      <c r="K12" s="44" t="str">
        <f>IFERROR(VLOOKUP(I12,DIVISORIA_DE_AMBIENTE!$A:$C,3,0),"")</f>
        <v/>
      </c>
      <c r="L12" s="135" t="str">
        <f t="shared" si="2"/>
        <v/>
      </c>
      <c r="M12" s="214">
        <f t="shared" si="3"/>
        <v>0</v>
      </c>
      <c r="N12" s="82" t="str">
        <f>IFERROR(INDEX(BASE_VIDROS!$A:$A,MATCH(O12,BASE_VIDROS!$B:$B,0)),"")</f>
        <v/>
      </c>
      <c r="O12" s="91"/>
      <c r="P12" s="57" t="str">
        <f>IFERROR(VLOOKUP(N12,BaseVidros[[Codigo]:[Preço]],3,0),"")</f>
        <v/>
      </c>
      <c r="Q12" s="106" t="str">
        <f t="shared" si="4"/>
        <v/>
      </c>
      <c r="S12" s="214">
        <f t="shared" si="5"/>
        <v>0</v>
      </c>
      <c r="T12" s="82" t="str">
        <f>IFERROR(INDEX(BASE_VIDROS!$A:$A,MATCH(U12,BASE_VIDROS!$B:$B,0)),"")</f>
        <v/>
      </c>
      <c r="U12" s="91"/>
      <c r="V12" s="57" t="str">
        <f>IFERROR(VLOOKUP(T12,BaseVidros[[Codigo]:[Preço]],3,0),"")</f>
        <v/>
      </c>
      <c r="W12" s="106" t="str">
        <f t="shared" si="6"/>
        <v/>
      </c>
      <c r="Y12" s="33">
        <v>18</v>
      </c>
    </row>
    <row r="13" spans="1:25" ht="15" customHeight="1" thickBot="1" x14ac:dyDescent="0.3">
      <c r="A13" s="32"/>
      <c r="B13" s="206"/>
      <c r="C13" s="206"/>
      <c r="D13" s="206"/>
      <c r="E13" s="207"/>
      <c r="F13" s="208"/>
      <c r="G13" s="209"/>
      <c r="H13" s="210"/>
      <c r="I13" s="206"/>
      <c r="J13" s="206"/>
      <c r="K13" s="206"/>
      <c r="T13" s="33"/>
      <c r="Y13"/>
    </row>
    <row r="14" spans="1:25" ht="15.75" customHeight="1" thickBot="1" x14ac:dyDescent="0.3">
      <c r="A14" s="32"/>
      <c r="B14" s="266" t="s">
        <v>16</v>
      </c>
      <c r="C14" s="266"/>
      <c r="D14" s="266"/>
      <c r="E14" s="266"/>
      <c r="F14" s="267"/>
      <c r="G14" s="205"/>
      <c r="H14" s="266" t="s">
        <v>31</v>
      </c>
      <c r="I14" s="266"/>
      <c r="J14" s="266"/>
      <c r="K14" s="266"/>
      <c r="L14" s="268" t="s">
        <v>11</v>
      </c>
      <c r="M14" s="269"/>
      <c r="N14" s="269"/>
      <c r="O14" s="240" t="s">
        <v>18</v>
      </c>
      <c r="P14" s="240"/>
      <c r="Q14" s="241"/>
    </row>
    <row r="15" spans="1:25" ht="15.75" customHeight="1" thickBot="1" x14ac:dyDescent="0.3">
      <c r="A15" s="32"/>
      <c r="B15" s="198" t="s">
        <v>4</v>
      </c>
      <c r="C15" s="215" t="s">
        <v>5</v>
      </c>
      <c r="D15" s="199" t="s">
        <v>6</v>
      </c>
      <c r="E15" s="216"/>
      <c r="F15" s="200" t="s">
        <v>7</v>
      </c>
      <c r="G15" s="201" t="s">
        <v>13</v>
      </c>
      <c r="H15" s="202" t="s">
        <v>4</v>
      </c>
      <c r="I15" s="203" t="s">
        <v>5</v>
      </c>
      <c r="J15" s="199" t="s">
        <v>9</v>
      </c>
      <c r="K15" s="204" t="s">
        <v>7</v>
      </c>
      <c r="L15" s="151" t="s">
        <v>8</v>
      </c>
      <c r="M15" s="152" t="s">
        <v>10</v>
      </c>
      <c r="N15" s="127" t="s">
        <v>7</v>
      </c>
      <c r="O15" s="242"/>
      <c r="P15" s="242"/>
      <c r="Q15" s="243"/>
    </row>
    <row r="16" spans="1:25" ht="15" customHeight="1" x14ac:dyDescent="0.25">
      <c r="A16" s="32"/>
      <c r="B16" s="118" t="str">
        <f>IFERROR(INDEX(DIVISORIA_DE_AMBIENTE!$A:$A,MATCH(C16,DIVISORIA_DE_AMBIENTE!$B:$B,0)),"")</f>
        <v xml:space="preserve">011405              </v>
      </c>
      <c r="C16" s="90" t="s">
        <v>426</v>
      </c>
      <c r="D16" s="38">
        <f>IFERROR(VLOOKUP(B16,DIVISORIA_DE_AMBIENTE!$A:$C,3,0),"")</f>
        <v>96.3</v>
      </c>
      <c r="E16" s="217"/>
      <c r="F16" s="128">
        <f>IFERROR((2*F5*D16),"")</f>
        <v>447.79500000000002</v>
      </c>
      <c r="G16" s="153">
        <f>F5*2</f>
        <v>4.6500000000000004</v>
      </c>
      <c r="H16" s="42">
        <f>IFERROR(INDEX(BaseExtra[Código],MATCH(I16,BaseExtra[Item],0)),"")</f>
        <v>1</v>
      </c>
      <c r="I16" s="95" t="s">
        <v>64</v>
      </c>
      <c r="J16" s="38">
        <f>IFERROR(VLOOKUP(H16,BaseExtra[],3,0),"")</f>
        <v>25</v>
      </c>
      <c r="K16" s="107">
        <f>IFERROR(E5*F5*J16,"")</f>
        <v>47.081250000000011</v>
      </c>
      <c r="L16" s="92">
        <v>0</v>
      </c>
      <c r="M16" s="126">
        <f>SUM(H5,M5,Q5,F16,K16,EXTRAS!$C$11)</f>
        <v>740.95350000000008</v>
      </c>
      <c r="N16" s="104">
        <f>PRODUCT(L16,M16)</f>
        <v>0</v>
      </c>
      <c r="O16" s="260">
        <f>SUM(N16:N23)</f>
        <v>0</v>
      </c>
      <c r="P16" s="260"/>
      <c r="Q16" s="261"/>
    </row>
    <row r="17" spans="1:17" ht="15" customHeight="1" x14ac:dyDescent="0.25">
      <c r="A17" s="32"/>
      <c r="B17" s="77" t="str">
        <f>IFERROR(INDEX(DIVISORIA_DE_AMBIENTE!$A:$A,MATCH(C17,DIVISORIA_DE_AMBIENTE!$B:$B,0)),"")</f>
        <v/>
      </c>
      <c r="C17" s="90"/>
      <c r="D17" s="35" t="str">
        <f>IFERROR(VLOOKUP(B17,DIVISORIA_DE_AMBIENTE!$A:$C,3,0),"")</f>
        <v/>
      </c>
      <c r="E17" s="218"/>
      <c r="F17" s="128" t="str">
        <f t="shared" ref="F17:F23" si="7">IFERROR((2*F6*D17),"")</f>
        <v/>
      </c>
      <c r="G17" s="154">
        <f>F6*2</f>
        <v>0</v>
      </c>
      <c r="H17" s="36" t="str">
        <f>IFERROR(INDEX(#REF!,MATCH(I17,#REF!,0)),"")</f>
        <v/>
      </c>
      <c r="I17" s="96"/>
      <c r="J17" s="35" t="str">
        <f>IFERROR(VLOOKUP(H17,#REF!,3,0),"")</f>
        <v/>
      </c>
      <c r="K17" s="108" t="str">
        <f t="shared" ref="K17:K23" si="8">IFERROR(E6*F6*J17,"")</f>
        <v/>
      </c>
      <c r="L17" s="93">
        <v>0</v>
      </c>
      <c r="M17" s="39">
        <f>SUM(H6,M6,Q6,F17,K17,EXTRAS!$C$11)</f>
        <v>60</v>
      </c>
      <c r="N17" s="105">
        <f t="shared" ref="N17:N23" si="9">PRODUCT(L17,M17)</f>
        <v>0</v>
      </c>
      <c r="O17" s="262"/>
      <c r="P17" s="262"/>
      <c r="Q17" s="263"/>
    </row>
    <row r="18" spans="1:17" ht="15" customHeight="1" x14ac:dyDescent="0.25">
      <c r="A18" s="32"/>
      <c r="B18" s="77" t="str">
        <f>IFERROR(INDEX(DIVISORIA_DE_AMBIENTE!$A:$A,MATCH(C18,DIVISORIA_DE_AMBIENTE!$B:$B,0)),"")</f>
        <v/>
      </c>
      <c r="C18" s="90"/>
      <c r="D18" s="35" t="str">
        <f>IFERROR(VLOOKUP(B18,DIVISORIA_DE_AMBIENTE!$A:$C,3,0),"")</f>
        <v/>
      </c>
      <c r="E18" s="218"/>
      <c r="F18" s="128" t="str">
        <f t="shared" si="7"/>
        <v/>
      </c>
      <c r="G18" s="154">
        <f t="shared" ref="G18:G23" si="10">F7*2</f>
        <v>0</v>
      </c>
      <c r="H18" s="36" t="str">
        <f>IFERROR(INDEX(#REF!,MATCH(I18,#REF!,0)),"")</f>
        <v/>
      </c>
      <c r="I18" s="96"/>
      <c r="J18" s="35" t="str">
        <f>IFERROR(VLOOKUP(H18,#REF!,3,0),"")</f>
        <v/>
      </c>
      <c r="K18" s="108" t="str">
        <f t="shared" si="8"/>
        <v/>
      </c>
      <c r="L18" s="93">
        <v>0</v>
      </c>
      <c r="M18" s="39">
        <f>SUM(H7,M7,Q7,F18,K18,EXTRAS!$C$11)</f>
        <v>60</v>
      </c>
      <c r="N18" s="105">
        <f t="shared" si="9"/>
        <v>0</v>
      </c>
      <c r="O18" s="262"/>
      <c r="P18" s="262"/>
      <c r="Q18" s="263"/>
    </row>
    <row r="19" spans="1:17" ht="15" customHeight="1" x14ac:dyDescent="0.25">
      <c r="A19" s="32"/>
      <c r="B19" s="77" t="str">
        <f>IFERROR(INDEX(DIVISORIA_DE_AMBIENTE!$A:$A,MATCH(C19,DIVISORIA_DE_AMBIENTE!$B:$B,0)),"")</f>
        <v/>
      </c>
      <c r="C19" s="90"/>
      <c r="D19" s="35" t="str">
        <f>IFERROR(VLOOKUP(B19,DIVISORIA_DE_AMBIENTE!$A:$C,3,0),"")</f>
        <v/>
      </c>
      <c r="E19" s="218"/>
      <c r="F19" s="128" t="str">
        <f t="shared" si="7"/>
        <v/>
      </c>
      <c r="G19" s="154">
        <f t="shared" si="10"/>
        <v>0</v>
      </c>
      <c r="H19" s="36" t="str">
        <f>IFERROR(INDEX(#REF!,MATCH(I19,#REF!,0)),"")</f>
        <v/>
      </c>
      <c r="I19" s="96"/>
      <c r="J19" s="35" t="str">
        <f>IFERROR(VLOOKUP(H19,#REF!,3,0),"")</f>
        <v/>
      </c>
      <c r="K19" s="108" t="str">
        <f t="shared" si="8"/>
        <v/>
      </c>
      <c r="L19" s="93">
        <v>0</v>
      </c>
      <c r="M19" s="39">
        <f>SUM(H8,M8,Q8,F19,K19,EXTRAS!$C$11)</f>
        <v>60</v>
      </c>
      <c r="N19" s="105">
        <f t="shared" si="9"/>
        <v>0</v>
      </c>
      <c r="O19" s="262"/>
      <c r="P19" s="262"/>
      <c r="Q19" s="263"/>
    </row>
    <row r="20" spans="1:17" ht="15" customHeight="1" x14ac:dyDescent="0.25">
      <c r="A20" s="32"/>
      <c r="B20" s="77" t="str">
        <f>IFERROR(INDEX(DIVISORIA_DE_AMBIENTE!$A:$A,MATCH(C20,DIVISORIA_DE_AMBIENTE!$B:$B,0)),"")</f>
        <v/>
      </c>
      <c r="C20" s="90"/>
      <c r="D20" s="35" t="str">
        <f>IFERROR(VLOOKUP(B20,DIVISORIA_DE_AMBIENTE!$A:$C,3,0),"")</f>
        <v/>
      </c>
      <c r="E20" s="218"/>
      <c r="F20" s="128" t="str">
        <f t="shared" si="7"/>
        <v/>
      </c>
      <c r="G20" s="154">
        <f t="shared" si="10"/>
        <v>0</v>
      </c>
      <c r="H20" s="36" t="str">
        <f>IFERROR(INDEX(#REF!,MATCH(I20,#REF!,0)),"")</f>
        <v/>
      </c>
      <c r="I20" s="96"/>
      <c r="J20" s="35" t="str">
        <f>IFERROR(VLOOKUP(H20,#REF!,3,0),"")</f>
        <v/>
      </c>
      <c r="K20" s="108" t="str">
        <f t="shared" si="8"/>
        <v/>
      </c>
      <c r="L20" s="93">
        <v>0</v>
      </c>
      <c r="M20" s="39">
        <f>SUM(H9,M9,Q9,F20,K20,EXTRAS!$C$11)</f>
        <v>60</v>
      </c>
      <c r="N20" s="105">
        <f t="shared" si="9"/>
        <v>0</v>
      </c>
      <c r="O20" s="262"/>
      <c r="P20" s="262"/>
      <c r="Q20" s="263"/>
    </row>
    <row r="21" spans="1:17" ht="15" customHeight="1" x14ac:dyDescent="0.25">
      <c r="A21" s="32"/>
      <c r="B21" s="77" t="str">
        <f>IFERROR(INDEX(DIVISORIA_DE_AMBIENTE!$A:$A,MATCH(C21,DIVISORIA_DE_AMBIENTE!$B:$B,0)),"")</f>
        <v/>
      </c>
      <c r="C21" s="90"/>
      <c r="D21" s="35" t="str">
        <f>IFERROR(VLOOKUP(B21,DIVISORIA_DE_AMBIENTE!$A:$C,3,0),"")</f>
        <v/>
      </c>
      <c r="E21" s="218"/>
      <c r="F21" s="128" t="str">
        <f t="shared" si="7"/>
        <v/>
      </c>
      <c r="G21" s="154">
        <f t="shared" si="10"/>
        <v>0</v>
      </c>
      <c r="H21" s="36" t="str">
        <f>IFERROR(INDEX(#REF!,MATCH(I21,#REF!,0)),"")</f>
        <v/>
      </c>
      <c r="I21" s="96"/>
      <c r="J21" s="35" t="str">
        <f>IFERROR(VLOOKUP(H21,#REF!,3,0),"")</f>
        <v/>
      </c>
      <c r="K21" s="108" t="str">
        <f t="shared" si="8"/>
        <v/>
      </c>
      <c r="L21" s="93">
        <v>0</v>
      </c>
      <c r="M21" s="39">
        <f>SUM(H10,M10,Q10,F21,K21,EXTRAS!$C$11)</f>
        <v>60</v>
      </c>
      <c r="N21" s="105">
        <f t="shared" si="9"/>
        <v>0</v>
      </c>
      <c r="O21" s="262"/>
      <c r="P21" s="262"/>
      <c r="Q21" s="263"/>
    </row>
    <row r="22" spans="1:17" ht="15" customHeight="1" x14ac:dyDescent="0.25">
      <c r="A22" s="32"/>
      <c r="B22" s="77" t="str">
        <f>IFERROR(INDEX(DIVISORIA_DE_AMBIENTE!$A:$A,MATCH(C22,DIVISORIA_DE_AMBIENTE!$B:$B,0)),"")</f>
        <v/>
      </c>
      <c r="C22" s="90"/>
      <c r="D22" s="35" t="str">
        <f>IFERROR(VLOOKUP(B22,DIVISORIA_DE_AMBIENTE!$A:$C,3,0),"")</f>
        <v/>
      </c>
      <c r="E22" s="218"/>
      <c r="F22" s="128" t="str">
        <f t="shared" si="7"/>
        <v/>
      </c>
      <c r="G22" s="154">
        <f t="shared" si="10"/>
        <v>0</v>
      </c>
      <c r="H22" s="36" t="str">
        <f>IFERROR(INDEX(#REF!,MATCH(I22,#REF!,0)),"")</f>
        <v/>
      </c>
      <c r="I22" s="96"/>
      <c r="J22" s="35" t="str">
        <f>IFERROR(VLOOKUP(H22,#REF!,3,0),"")</f>
        <v/>
      </c>
      <c r="K22" s="108" t="str">
        <f t="shared" si="8"/>
        <v/>
      </c>
      <c r="L22" s="93">
        <v>0</v>
      </c>
      <c r="M22" s="39">
        <f>SUM(H11,M11,Q11,F22,K22,EXTRAS!$C$11)</f>
        <v>60</v>
      </c>
      <c r="N22" s="105">
        <f t="shared" si="9"/>
        <v>0</v>
      </c>
      <c r="O22" s="262"/>
      <c r="P22" s="262"/>
      <c r="Q22" s="263"/>
    </row>
    <row r="23" spans="1:17" ht="15.75" customHeight="1" thickBot="1" x14ac:dyDescent="0.3">
      <c r="A23" s="32"/>
      <c r="B23" s="78" t="str">
        <f>IFERROR(INDEX(DIVISORIA_DE_AMBIENTE!$A:$A,MATCH(C23,DIVISORIA_DE_AMBIENTE!$B:$B,0)),"")</f>
        <v/>
      </c>
      <c r="C23" s="91"/>
      <c r="D23" s="43" t="str">
        <f>IFERROR(VLOOKUP(B23,DIVISORIA_DE_AMBIENTE!$A:$C,3,0),"")</f>
        <v/>
      </c>
      <c r="E23" s="219"/>
      <c r="F23" s="128" t="str">
        <f t="shared" si="7"/>
        <v/>
      </c>
      <c r="G23" s="197">
        <f t="shared" si="10"/>
        <v>0</v>
      </c>
      <c r="H23" s="116" t="str">
        <f>IFERROR(INDEX(#REF!,MATCH(I23,#REF!,0)),"")</f>
        <v/>
      </c>
      <c r="I23" s="97"/>
      <c r="J23" s="43" t="str">
        <f>IFERROR(VLOOKUP(H23,#REF!,3,0),"")</f>
        <v/>
      </c>
      <c r="K23" s="109" t="str">
        <f t="shared" si="8"/>
        <v/>
      </c>
      <c r="L23" s="94">
        <v>0</v>
      </c>
      <c r="M23" s="44">
        <f>SUM(H12,M12,Q12,F23,K23,EXTRAS!$C$11)</f>
        <v>60</v>
      </c>
      <c r="N23" s="106">
        <f t="shared" si="9"/>
        <v>0</v>
      </c>
      <c r="O23" s="264"/>
      <c r="P23" s="264"/>
      <c r="Q23" s="265"/>
    </row>
    <row r="24" spans="1:17" x14ac:dyDescent="0.25">
      <c r="B24" s="33" t="s">
        <v>108</v>
      </c>
    </row>
    <row r="29" spans="1:17" ht="14.25" hidden="1" customHeight="1" x14ac:dyDescent="0.25"/>
  </sheetData>
  <sheetProtection sheet="1" objects="1" scenarios="1" selectLockedCells="1"/>
  <mergeCells count="10">
    <mergeCell ref="S3:W3"/>
    <mergeCell ref="B2:W2"/>
    <mergeCell ref="O16:Q23"/>
    <mergeCell ref="B3:H3"/>
    <mergeCell ref="B14:F14"/>
    <mergeCell ref="H14:K14"/>
    <mergeCell ref="L14:N14"/>
    <mergeCell ref="O14:Q15"/>
    <mergeCell ref="I3:L3"/>
    <mergeCell ref="M3:Q3"/>
  </mergeCells>
  <dataValidations count="3">
    <dataValidation type="list" allowBlank="1" showInputMessage="1" showErrorMessage="1" sqref="I16:I23">
      <formula1>INDIRECT($B$24)</formula1>
    </dataValidation>
    <dataValidation type="list" allowBlank="1" showInputMessage="1" showErrorMessage="1" sqref="O5:O12 U5:U12">
      <formula1>INDIRECT($M$3)</formula1>
    </dataValidation>
    <dataValidation type="list" allowBlank="1" showInputMessage="1" showErrorMessage="1" sqref="C5:C12 J5:J12 C16:C23">
      <formula1>INDIRECT("Divisoria_Ambiente")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ignoredErrors>
    <ignoredError sqref="M5:M12 S5:S12" unlocked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"/>
  <sheetViews>
    <sheetView showGridLines="0" workbookViewId="0">
      <selection activeCell="K7" sqref="K7"/>
    </sheetView>
  </sheetViews>
  <sheetFormatPr defaultColWidth="0" defaultRowHeight="15" zeroHeight="1" x14ac:dyDescent="0.25"/>
  <cols>
    <col min="1" max="1" width="3" customWidth="1"/>
    <col min="2" max="2" width="8.140625" customWidth="1"/>
    <col min="3" max="3" width="9.140625" customWidth="1"/>
    <col min="4" max="4" width="8.85546875" customWidth="1"/>
    <col min="5" max="5" width="10.85546875" customWidth="1"/>
    <col min="6" max="6" width="38" bestFit="1" customWidth="1"/>
    <col min="7" max="7" width="11.7109375" customWidth="1"/>
    <col min="8" max="8" width="10.7109375" customWidth="1"/>
    <col min="9" max="9" width="7.5703125" style="59" customWidth="1"/>
    <col min="10" max="10" width="8.7109375" customWidth="1"/>
    <col min="11" max="11" width="19.5703125" bestFit="1" customWidth="1"/>
    <col min="12" max="13" width="9.5703125" customWidth="1"/>
    <col min="14" max="14" width="11.42578125" customWidth="1"/>
    <col min="15" max="15" width="11.7109375" customWidth="1"/>
    <col min="16" max="18" width="9.140625" customWidth="1"/>
    <col min="19" max="19" width="4.140625" customWidth="1"/>
    <col min="20" max="16384" width="9.140625" hidden="1"/>
  </cols>
  <sheetData>
    <row r="1" spans="2:18" ht="16.5" thickBot="1" x14ac:dyDescent="0.3">
      <c r="B1" s="231" t="s">
        <v>418</v>
      </c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3"/>
    </row>
    <row r="2" spans="2:18" ht="15.75" customHeight="1" thickBot="1" x14ac:dyDescent="0.3">
      <c r="B2" s="269" t="s">
        <v>58</v>
      </c>
      <c r="C2" s="269"/>
      <c r="D2" s="269"/>
      <c r="E2" s="272" t="s">
        <v>107</v>
      </c>
      <c r="F2" s="272"/>
      <c r="G2" s="272"/>
      <c r="H2" s="272"/>
      <c r="I2" s="60"/>
      <c r="J2" s="272" t="s">
        <v>31</v>
      </c>
      <c r="K2" s="272"/>
      <c r="L2" s="272"/>
      <c r="M2" s="272"/>
      <c r="N2" s="269" t="s">
        <v>57</v>
      </c>
      <c r="O2" s="269"/>
      <c r="P2" s="273" t="s">
        <v>18</v>
      </c>
      <c r="Q2" s="273"/>
      <c r="R2" s="273"/>
    </row>
    <row r="3" spans="2:18" ht="15.75" customHeight="1" thickBot="1" x14ac:dyDescent="0.3">
      <c r="B3" s="139" t="s">
        <v>8</v>
      </c>
      <c r="C3" s="140" t="s">
        <v>0</v>
      </c>
      <c r="D3" s="141" t="s">
        <v>1</v>
      </c>
      <c r="E3" s="139" t="s">
        <v>4</v>
      </c>
      <c r="F3" s="139" t="s">
        <v>5</v>
      </c>
      <c r="G3" s="139" t="s">
        <v>9</v>
      </c>
      <c r="H3" s="87" t="s">
        <v>7</v>
      </c>
      <c r="I3" s="170" t="s">
        <v>24</v>
      </c>
      <c r="J3" s="166" t="s">
        <v>4</v>
      </c>
      <c r="K3" s="142" t="s">
        <v>5</v>
      </c>
      <c r="L3" s="143" t="s">
        <v>9</v>
      </c>
      <c r="M3" s="143" t="s">
        <v>7</v>
      </c>
      <c r="N3" s="139" t="s">
        <v>10</v>
      </c>
      <c r="O3" s="88" t="s">
        <v>7</v>
      </c>
      <c r="P3" s="273"/>
      <c r="Q3" s="273"/>
      <c r="R3" s="273"/>
    </row>
    <row r="4" spans="2:18" x14ac:dyDescent="0.25">
      <c r="B4" s="136">
        <v>1</v>
      </c>
      <c r="C4" s="155">
        <v>1.101</v>
      </c>
      <c r="D4" s="156">
        <v>0.70499999999999996</v>
      </c>
      <c r="E4" s="137" t="str">
        <f>IFERROR(INDEX(BaseVidros[Codigo],MATCH(F4,BaseVidros[Descrição],0)),"")</f>
        <v xml:space="preserve">004101              </v>
      </c>
      <c r="F4" s="89" t="s">
        <v>98</v>
      </c>
      <c r="G4" s="126">
        <f>IFERROR(VLOOKUP(E4,BaseVidros[[Codigo]:[Preço]],3,0),"")</f>
        <v>329.33</v>
      </c>
      <c r="H4" s="163">
        <f>IFERROR((C4*D4)*(G4),"")</f>
        <v>255.62759264999997</v>
      </c>
      <c r="I4" s="171">
        <f>IFERROR((C4*D4),"")</f>
        <v>0.77620499999999992</v>
      </c>
      <c r="J4" s="167">
        <f>IFERROR(INDEX(BaseExtra[Código],MATCH(K4,BaseExtra[Item],0)),"")</f>
        <v>1</v>
      </c>
      <c r="K4" s="95" t="s">
        <v>64</v>
      </c>
      <c r="L4" s="38">
        <f>IFERROR(VLOOKUP(J4,BaseExtra[],3,0),"")</f>
        <v>25</v>
      </c>
      <c r="M4" s="138">
        <f>IFERROR((C4*D4)*(L4),"")</f>
        <v>19.405124999999998</v>
      </c>
      <c r="N4" s="126">
        <f>SUM(H4,M4,)</f>
        <v>275.03271765</v>
      </c>
      <c r="O4" s="104">
        <f t="shared" ref="O4:O11" si="0">PRODUCT(B4,N4)</f>
        <v>275.03271765</v>
      </c>
      <c r="P4" s="236">
        <f>SUM(O4:O11)</f>
        <v>1627.0836218000002</v>
      </c>
      <c r="Q4" s="236"/>
      <c r="R4" s="237"/>
    </row>
    <row r="5" spans="2:18" x14ac:dyDescent="0.25">
      <c r="B5" s="49">
        <v>1</v>
      </c>
      <c r="C5" s="157">
        <v>1.05</v>
      </c>
      <c r="D5" s="158">
        <v>0.55000000000000004</v>
      </c>
      <c r="E5" s="84" t="str">
        <f>IFERROR(INDEX(BaseVidros[Codigo],MATCH(F5,BaseVidros[Descrição],0)),"")</f>
        <v xml:space="preserve">008787              </v>
      </c>
      <c r="F5" s="161" t="s">
        <v>91</v>
      </c>
      <c r="G5" s="39">
        <f>IFERROR(VLOOKUP(E5,BaseVidros[[Codigo]:[Preço]],3,0),"")</f>
        <v>271.83</v>
      </c>
      <c r="H5" s="164">
        <f t="shared" ref="H5:H11" si="1">IFERROR((C5*D5)*(G5),"")</f>
        <v>156.98182500000001</v>
      </c>
      <c r="I5" s="171">
        <f t="shared" ref="I5:I11" si="2">IFERROR((C5*D5),"")</f>
        <v>0.57750000000000012</v>
      </c>
      <c r="J5" s="168" t="str">
        <f>IFERROR(INDEX(BaseExtra[Código],MATCH(K5,BaseExtra[Item],0)),"")</f>
        <v/>
      </c>
      <c r="K5" s="96"/>
      <c r="L5" s="35" t="str">
        <f>IFERROR(VLOOKUP(J5,BaseExtra[],3,0),"")</f>
        <v/>
      </c>
      <c r="M5" s="12" t="str">
        <f t="shared" ref="M5:M11" si="3">IFERROR((C5*D5)*(L5),"")</f>
        <v/>
      </c>
      <c r="N5" s="39">
        <f t="shared" ref="N5:N11" si="4">SUM(H5,M5,)</f>
        <v>156.98182500000001</v>
      </c>
      <c r="O5" s="105">
        <f t="shared" si="0"/>
        <v>156.98182500000001</v>
      </c>
      <c r="P5" s="236"/>
      <c r="Q5" s="236"/>
      <c r="R5" s="237"/>
    </row>
    <row r="6" spans="2:18" x14ac:dyDescent="0.25">
      <c r="B6" s="49">
        <v>1</v>
      </c>
      <c r="C6" s="157">
        <v>0.47</v>
      </c>
      <c r="D6" s="158">
        <v>2.2000000000000002</v>
      </c>
      <c r="E6" s="84" t="str">
        <f>IFERROR(INDEX(BaseVidros[Codigo],MATCH(F6,BaseVidros[Descrição],0)),"")</f>
        <v xml:space="preserve">011351              </v>
      </c>
      <c r="F6" s="161" t="s">
        <v>97</v>
      </c>
      <c r="G6" s="39">
        <f>IFERROR(VLOOKUP(E6,BaseVidros[[Codigo]:[Preço]],3,0),"")</f>
        <v>188.7</v>
      </c>
      <c r="H6" s="164">
        <f t="shared" si="1"/>
        <v>195.11580000000001</v>
      </c>
      <c r="I6" s="171">
        <f t="shared" si="2"/>
        <v>1.034</v>
      </c>
      <c r="J6" s="168" t="str">
        <f>IFERROR(INDEX(BaseExtra[Código],MATCH(K6,BaseExtra[Item],0)),"")</f>
        <v/>
      </c>
      <c r="K6" s="96"/>
      <c r="L6" s="35" t="str">
        <f>IFERROR(VLOOKUP(J6,BaseExtra[],3,0),"")</f>
        <v/>
      </c>
      <c r="M6" s="12" t="str">
        <f t="shared" si="3"/>
        <v/>
      </c>
      <c r="N6" s="39">
        <f t="shared" si="4"/>
        <v>195.11580000000001</v>
      </c>
      <c r="O6" s="105">
        <f t="shared" si="0"/>
        <v>195.11580000000001</v>
      </c>
      <c r="P6" s="236"/>
      <c r="Q6" s="236"/>
      <c r="R6" s="237"/>
    </row>
    <row r="7" spans="2:18" x14ac:dyDescent="0.25">
      <c r="B7" s="49">
        <v>1</v>
      </c>
      <c r="C7" s="157">
        <v>0.1</v>
      </c>
      <c r="D7" s="158">
        <v>0.89</v>
      </c>
      <c r="E7" s="84" t="str">
        <f>IFERROR(INDEX(BaseVidros[Codigo],MATCH(F7,BaseVidros[Descrição],0)),"")</f>
        <v xml:space="preserve">003183              </v>
      </c>
      <c r="F7" s="161" t="s">
        <v>463</v>
      </c>
      <c r="G7" s="39">
        <f>IFERROR(VLOOKUP(E7,BaseVidros[[Codigo]:[Preço]],3,0),"")</f>
        <v>179.82</v>
      </c>
      <c r="H7" s="164">
        <f t="shared" si="1"/>
        <v>16.003980000000002</v>
      </c>
      <c r="I7" s="171">
        <f t="shared" si="2"/>
        <v>8.900000000000001E-2</v>
      </c>
      <c r="J7" s="168">
        <f>IFERROR(INDEX(BaseExtra[Código],MATCH(K7,BaseExtra[Item],0)),"")</f>
        <v>7</v>
      </c>
      <c r="K7" s="96" t="s">
        <v>70</v>
      </c>
      <c r="L7" s="35">
        <f>IFERROR(VLOOKUP(J7,BaseExtra[],3,0),"")</f>
        <v>113</v>
      </c>
      <c r="M7" s="12">
        <f t="shared" si="3"/>
        <v>10.057</v>
      </c>
      <c r="N7" s="39">
        <f t="shared" si="4"/>
        <v>26.060980000000001</v>
      </c>
      <c r="O7" s="105">
        <f t="shared" si="0"/>
        <v>26.060980000000001</v>
      </c>
      <c r="P7" s="236"/>
      <c r="Q7" s="236">
        <v>3</v>
      </c>
      <c r="R7" s="237"/>
    </row>
    <row r="8" spans="2:18" x14ac:dyDescent="0.25">
      <c r="B8" s="49">
        <v>1</v>
      </c>
      <c r="C8" s="157">
        <v>2.1</v>
      </c>
      <c r="D8" s="158">
        <v>0.5</v>
      </c>
      <c r="E8" s="84" t="str">
        <f>IFERROR(INDEX(BaseVidros[Codigo],MATCH(F8,BaseVidros[Descrição],0)),"")</f>
        <v xml:space="preserve">003184              </v>
      </c>
      <c r="F8" s="161" t="s">
        <v>417</v>
      </c>
      <c r="G8" s="39">
        <f>IFERROR(VLOOKUP(E8,BaseVidros[[Codigo]:[Preço]],3,0),"")</f>
        <v>179.26</v>
      </c>
      <c r="H8" s="164">
        <f t="shared" si="1"/>
        <v>188.22299999999998</v>
      </c>
      <c r="I8" s="171">
        <f t="shared" si="2"/>
        <v>1.05</v>
      </c>
      <c r="J8" s="168">
        <f>IFERROR(INDEX(BaseExtra[Código],MATCH(K8,BaseExtra[Item],0)),"")</f>
        <v>9</v>
      </c>
      <c r="K8" s="96" t="s">
        <v>72</v>
      </c>
      <c r="L8" s="35">
        <f>IFERROR(VLOOKUP(J8,BaseExtra[],3,0),"")</f>
        <v>-5</v>
      </c>
      <c r="M8" s="12">
        <f t="shared" si="3"/>
        <v>-5.25</v>
      </c>
      <c r="N8" s="39">
        <f t="shared" si="4"/>
        <v>182.97299999999998</v>
      </c>
      <c r="O8" s="105">
        <f t="shared" si="0"/>
        <v>182.97299999999998</v>
      </c>
      <c r="P8" s="236"/>
      <c r="Q8" s="236"/>
      <c r="R8" s="237"/>
    </row>
    <row r="9" spans="2:18" x14ac:dyDescent="0.25">
      <c r="B9" s="49">
        <v>1</v>
      </c>
      <c r="C9" s="157">
        <v>0.88500000000000001</v>
      </c>
      <c r="D9" s="158">
        <v>2.4500000000000002</v>
      </c>
      <c r="E9" s="84" t="str">
        <f>IFERROR(INDEX(BaseVidros[Codigo],MATCH(F9,BaseVidros[Descrição],0)),"")</f>
        <v xml:space="preserve">001106              </v>
      </c>
      <c r="F9" s="161" t="s">
        <v>100</v>
      </c>
      <c r="G9" s="39">
        <f>IFERROR(VLOOKUP(E9,BaseVidros[[Codigo]:[Preço]],3,0),"")</f>
        <v>163.4</v>
      </c>
      <c r="H9" s="164">
        <f t="shared" si="1"/>
        <v>354.29205000000002</v>
      </c>
      <c r="I9" s="171">
        <f t="shared" si="2"/>
        <v>2.16825</v>
      </c>
      <c r="J9" s="168" t="str">
        <f>IFERROR(INDEX(BaseExtra[Código],MATCH(K9,BaseExtra[Item],0)),"")</f>
        <v/>
      </c>
      <c r="K9" s="96"/>
      <c r="L9" s="35" t="str">
        <f>IFERROR(VLOOKUP(J9,BaseExtra[],3,0),"")</f>
        <v/>
      </c>
      <c r="M9" s="12" t="str">
        <f t="shared" si="3"/>
        <v/>
      </c>
      <c r="N9" s="39">
        <f t="shared" si="4"/>
        <v>354.29205000000002</v>
      </c>
      <c r="O9" s="105">
        <f t="shared" si="0"/>
        <v>354.29205000000002</v>
      </c>
      <c r="P9" s="236"/>
      <c r="Q9" s="236"/>
      <c r="R9" s="237"/>
    </row>
    <row r="10" spans="2:18" x14ac:dyDescent="0.25">
      <c r="B10" s="49">
        <v>1</v>
      </c>
      <c r="C10" s="157">
        <v>0.65500000000000003</v>
      </c>
      <c r="D10" s="158">
        <v>0.98299999999999998</v>
      </c>
      <c r="E10" s="84" t="str">
        <f>IFERROR(INDEX(BaseVidros[Codigo],MATCH(F10,BaseVidros[Descrição],0)),"")</f>
        <v xml:space="preserve">003650              </v>
      </c>
      <c r="F10" s="161" t="s">
        <v>462</v>
      </c>
      <c r="G10" s="39">
        <f>IFERROR(VLOOKUP(E10,BaseVidros[[Codigo]:[Preço]],3,0),"")</f>
        <v>187.59</v>
      </c>
      <c r="H10" s="164">
        <f t="shared" si="1"/>
        <v>120.78263535000001</v>
      </c>
      <c r="I10" s="171">
        <f t="shared" si="2"/>
        <v>0.64386500000000002</v>
      </c>
      <c r="J10" s="168">
        <f>IFERROR(INDEX(BaseExtra[Código],MATCH(K10,BaseExtra[Item],0)),"")</f>
        <v>7</v>
      </c>
      <c r="K10" s="96" t="s">
        <v>70</v>
      </c>
      <c r="L10" s="35">
        <f>IFERROR(VLOOKUP(J10,BaseExtra[],3,0),"")</f>
        <v>113</v>
      </c>
      <c r="M10" s="12">
        <f t="shared" si="3"/>
        <v>72.756745000000009</v>
      </c>
      <c r="N10" s="39">
        <f t="shared" si="4"/>
        <v>193.53938035000002</v>
      </c>
      <c r="O10" s="105">
        <f t="shared" si="0"/>
        <v>193.53938035000002</v>
      </c>
      <c r="P10" s="236"/>
      <c r="Q10" s="236"/>
      <c r="R10" s="237"/>
    </row>
    <row r="11" spans="2:18" ht="15.75" thickBot="1" x14ac:dyDescent="0.3">
      <c r="B11" s="50">
        <v>1</v>
      </c>
      <c r="C11" s="159">
        <v>0.99399999999999999</v>
      </c>
      <c r="D11" s="160">
        <v>1.36</v>
      </c>
      <c r="E11" s="85" t="str">
        <f>IFERROR(INDEX(BaseVidros[Codigo],MATCH(F11,BaseVidros[Descrição],0)),"")</f>
        <v xml:space="preserve">003183              </v>
      </c>
      <c r="F11" s="162" t="s">
        <v>463</v>
      </c>
      <c r="G11" s="44">
        <f>IFERROR(VLOOKUP(E11,BaseVidros[[Codigo]:[Preço]],3,0),"")</f>
        <v>179.82</v>
      </c>
      <c r="H11" s="165">
        <f t="shared" si="1"/>
        <v>243.08786880000002</v>
      </c>
      <c r="I11" s="171">
        <f t="shared" si="2"/>
        <v>1.3518400000000002</v>
      </c>
      <c r="J11" s="169" t="str">
        <f>IFERROR(INDEX(BaseExtra[Código],MATCH(K11,BaseExtra[Item],0)),"")</f>
        <v/>
      </c>
      <c r="K11" s="97"/>
      <c r="L11" s="43" t="str">
        <f>IFERROR(VLOOKUP(J11,BaseExtra[],3,0),"")</f>
        <v/>
      </c>
      <c r="M11" s="26" t="str">
        <f t="shared" si="3"/>
        <v/>
      </c>
      <c r="N11" s="44">
        <f t="shared" si="4"/>
        <v>243.08786880000002</v>
      </c>
      <c r="O11" s="106">
        <f t="shared" si="0"/>
        <v>243.08786880000002</v>
      </c>
      <c r="P11" s="238"/>
      <c r="Q11" s="238"/>
      <c r="R11" s="239"/>
    </row>
    <row r="12" spans="2:18" x14ac:dyDescent="0.25"/>
    <row r="13" spans="2:18" x14ac:dyDescent="0.25">
      <c r="G13" s="223" t="s">
        <v>467</v>
      </c>
      <c r="H13" s="230">
        <v>30</v>
      </c>
      <c r="K13" s="30" t="s">
        <v>26</v>
      </c>
      <c r="L13" s="29">
        <v>50</v>
      </c>
    </row>
    <row r="14" spans="2:18" x14ac:dyDescent="0.25">
      <c r="G14" s="223" t="s">
        <v>468</v>
      </c>
      <c r="H14" s="229">
        <v>50</v>
      </c>
      <c r="K14" s="28" t="s">
        <v>27</v>
      </c>
      <c r="L14" s="29">
        <v>40</v>
      </c>
      <c r="N14" s="33" t="s">
        <v>108</v>
      </c>
    </row>
    <row r="15" spans="2:18" x14ac:dyDescent="0.25">
      <c r="G15" s="223" t="s">
        <v>466</v>
      </c>
      <c r="H15" s="228">
        <v>0.6</v>
      </c>
      <c r="K15" s="28" t="s">
        <v>28</v>
      </c>
      <c r="L15" s="29">
        <v>8</v>
      </c>
    </row>
    <row r="16" spans="2:18" x14ac:dyDescent="0.25">
      <c r="K16" s="28" t="s">
        <v>29</v>
      </c>
      <c r="L16" s="29">
        <v>15</v>
      </c>
    </row>
    <row r="17" spans="11:12" x14ac:dyDescent="0.25">
      <c r="K17" s="28" t="s">
        <v>30</v>
      </c>
      <c r="L17" s="29">
        <v>26</v>
      </c>
    </row>
    <row r="18" spans="11:12" x14ac:dyDescent="0.25"/>
  </sheetData>
  <sheetProtection sheet="1" objects="1" scenarios="1" selectLockedCells="1"/>
  <mergeCells count="7">
    <mergeCell ref="B1:Q1"/>
    <mergeCell ref="P4:R11"/>
    <mergeCell ref="B2:D2"/>
    <mergeCell ref="N2:O2"/>
    <mergeCell ref="E2:H2"/>
    <mergeCell ref="J2:M2"/>
    <mergeCell ref="P2:R3"/>
  </mergeCells>
  <dataValidations count="2">
    <dataValidation type="list" allowBlank="1" showInputMessage="1" showErrorMessage="1" sqref="F4:F11">
      <formula1>INDIRECT($E$2)</formula1>
    </dataValidation>
    <dataValidation type="list" allowBlank="1" showInputMessage="1" showErrorMessage="1" sqref="K4:K11">
      <formula1>INDIRECT($N$14)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12</vt:i4>
      </vt:variant>
      <vt:variant>
        <vt:lpstr>Intervalos nomeados</vt:lpstr>
      </vt:variant>
      <vt:variant>
        <vt:i4>8</vt:i4>
      </vt:variant>
    </vt:vector>
  </HeadingPairs>
  <TitlesOfParts>
    <vt:vector size="20" baseType="lpstr">
      <vt:lpstr>PERFIl</vt:lpstr>
      <vt:lpstr>PERFIL_PUXADOR</vt:lpstr>
      <vt:lpstr>PUXADOR</vt:lpstr>
      <vt:lpstr>DIVISORES</vt:lpstr>
      <vt:lpstr>DIVISORIA_DE_AMBIENTE</vt:lpstr>
      <vt:lpstr>BASE_VIDROS</vt:lpstr>
      <vt:lpstr>EXTRAS</vt:lpstr>
      <vt:lpstr>Avulso</vt:lpstr>
      <vt:lpstr>1x Perfil Puxador</vt:lpstr>
      <vt:lpstr>2x Perfil Puxador</vt:lpstr>
      <vt:lpstr>Linha 1000</vt:lpstr>
      <vt:lpstr>Vidros</vt:lpstr>
      <vt:lpstr>Divisor</vt:lpstr>
      <vt:lpstr>Divisoria_Ambiente</vt:lpstr>
      <vt:lpstr>Extra</vt:lpstr>
      <vt:lpstr>Furos</vt:lpstr>
      <vt:lpstr>Perfil</vt:lpstr>
      <vt:lpstr>Perfil_Puxador</vt:lpstr>
      <vt:lpstr>Puxador</vt:lpstr>
      <vt:lpstr>Vidros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Balcao</dc:creator>
  <cp:lastModifiedBy>Portas</cp:lastModifiedBy>
  <cp:lastPrinted>2016-07-05T20:18:46Z</cp:lastPrinted>
  <dcterms:created xsi:type="dcterms:W3CDTF">2016-03-15T16:58:07Z</dcterms:created>
  <dcterms:modified xsi:type="dcterms:W3CDTF">2025-11-24T20:05:14Z</dcterms:modified>
</cp:coreProperties>
</file>